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el.oliveira\OneDrive - AB+ Urbanismo\Documentos\Claude\Inadimplência\"/>
    </mc:Choice>
  </mc:AlternateContent>
  <xr:revisionPtr revIDLastSave="0" documentId="13_ncr:1_{64055878-B577-4778-BF5B-4A7A299B1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2" r:id="rId1"/>
  </sheets>
  <definedNames>
    <definedName name="_xlnm._FilterDatabase" localSheetId="0" hidden="1">Base!$A$1:$Q$764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83" i="2" l="1"/>
  <c r="I583" i="2" s="1"/>
  <c r="H582" i="2"/>
  <c r="I582" i="2" s="1"/>
  <c r="H581" i="2"/>
  <c r="I581" i="2" s="1"/>
  <c r="H580" i="2"/>
  <c r="I580" i="2" s="1"/>
  <c r="H579" i="2"/>
  <c r="I579" i="2" s="1"/>
  <c r="H578" i="2"/>
  <c r="I578" i="2" s="1"/>
  <c r="H577" i="2"/>
  <c r="I577" i="2" s="1"/>
  <c r="H576" i="2"/>
  <c r="I576" i="2" s="1"/>
  <c r="H575" i="2"/>
  <c r="I575" i="2" s="1"/>
  <c r="H574" i="2"/>
  <c r="I574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6" i="2"/>
  <c r="I566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8" i="2"/>
  <c r="I558" i="2" s="1"/>
  <c r="H557" i="2"/>
  <c r="I557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H544" i="2"/>
  <c r="I544" i="2" s="1"/>
  <c r="H543" i="2"/>
  <c r="I543" i="2" s="1"/>
  <c r="H542" i="2"/>
  <c r="I542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4" i="2"/>
  <c r="I534" i="2" s="1"/>
  <c r="H533" i="2"/>
  <c r="I533" i="2" s="1"/>
  <c r="H532" i="2"/>
  <c r="I532" i="2" s="1"/>
  <c r="H531" i="2"/>
  <c r="I531" i="2" s="1"/>
  <c r="H530" i="2"/>
  <c r="I530" i="2" s="1"/>
  <c r="H529" i="2"/>
  <c r="I529" i="2" s="1"/>
  <c r="H528" i="2"/>
  <c r="I528" i="2" s="1"/>
  <c r="H527" i="2"/>
  <c r="I527" i="2" s="1"/>
  <c r="H526" i="2"/>
  <c r="I526" i="2" s="1"/>
  <c r="H525" i="2"/>
  <c r="I525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8" i="2"/>
  <c r="I518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10" i="2"/>
  <c r="I510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2" i="2"/>
  <c r="I502" i="2" s="1"/>
  <c r="H501" i="2"/>
  <c r="I501" i="2" s="1"/>
  <c r="H500" i="2"/>
  <c r="I500" i="2" s="1"/>
  <c r="H499" i="2"/>
  <c r="I499" i="2" s="1"/>
  <c r="H498" i="2"/>
  <c r="I498" i="2" s="1"/>
  <c r="H497" i="2"/>
  <c r="I497" i="2" s="1"/>
  <c r="H496" i="2"/>
  <c r="I496" i="2" s="1"/>
  <c r="H495" i="2"/>
  <c r="I495" i="2" s="1"/>
  <c r="H494" i="2"/>
  <c r="I494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6" i="2"/>
  <c r="I486" i="2" s="1"/>
  <c r="H485" i="2"/>
  <c r="I485" i="2" s="1"/>
  <c r="H484" i="2"/>
  <c r="I484" i="2" s="1"/>
  <c r="H483" i="2"/>
  <c r="I483" i="2" s="1"/>
  <c r="H482" i="2"/>
  <c r="I482" i="2" s="1"/>
  <c r="H481" i="2"/>
  <c r="I481" i="2" s="1"/>
  <c r="H480" i="2"/>
  <c r="I480" i="2" s="1"/>
  <c r="H479" i="2"/>
  <c r="I479" i="2" s="1"/>
  <c r="H478" i="2"/>
  <c r="I478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70" i="2"/>
  <c r="I470" i="2" s="1"/>
  <c r="H469" i="2"/>
  <c r="I469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2" i="2"/>
  <c r="I462" i="2" s="1"/>
  <c r="H461" i="2"/>
  <c r="I461" i="2" s="1"/>
  <c r="H764" i="2"/>
  <c r="I764" i="2" s="1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H745" i="2"/>
  <c r="I745" i="2" s="1"/>
  <c r="H744" i="2"/>
  <c r="I744" i="2" s="1"/>
  <c r="H743" i="2"/>
  <c r="I743" i="2" s="1"/>
  <c r="H742" i="2"/>
  <c r="I742" i="2" s="1"/>
  <c r="H741" i="2"/>
  <c r="I741" i="2" s="1"/>
  <c r="H740" i="2"/>
  <c r="I740" i="2" s="1"/>
  <c r="H739" i="2"/>
  <c r="I739" i="2" s="1"/>
  <c r="H738" i="2"/>
  <c r="I738" i="2" s="1"/>
  <c r="H737" i="2"/>
  <c r="I737" i="2" s="1"/>
  <c r="H736" i="2"/>
  <c r="I736" i="2" s="1"/>
  <c r="H735" i="2"/>
  <c r="I735" i="2" s="1"/>
  <c r="H734" i="2"/>
  <c r="I734" i="2" s="1"/>
  <c r="H733" i="2"/>
  <c r="I733" i="2" s="1"/>
  <c r="H732" i="2"/>
  <c r="I732" i="2" s="1"/>
  <c r="H731" i="2"/>
  <c r="I731" i="2" s="1"/>
  <c r="H730" i="2"/>
  <c r="I730" i="2" s="1"/>
  <c r="H729" i="2"/>
  <c r="I729" i="2" s="1"/>
  <c r="H728" i="2"/>
  <c r="I728" i="2" s="1"/>
  <c r="H727" i="2"/>
  <c r="I727" i="2" s="1"/>
  <c r="H726" i="2"/>
  <c r="I726" i="2" s="1"/>
  <c r="H725" i="2"/>
  <c r="I725" i="2" s="1"/>
  <c r="H724" i="2"/>
  <c r="I724" i="2" s="1"/>
  <c r="H723" i="2"/>
  <c r="I723" i="2" s="1"/>
  <c r="H722" i="2"/>
  <c r="I722" i="2" s="1"/>
  <c r="H721" i="2"/>
  <c r="I721" i="2" s="1"/>
  <c r="H720" i="2"/>
  <c r="I720" i="2" s="1"/>
  <c r="H719" i="2"/>
  <c r="I719" i="2" s="1"/>
  <c r="H718" i="2"/>
  <c r="I718" i="2" s="1"/>
  <c r="H717" i="2"/>
  <c r="I717" i="2" s="1"/>
  <c r="H716" i="2"/>
  <c r="I716" i="2" s="1"/>
  <c r="H715" i="2"/>
  <c r="I715" i="2" s="1"/>
  <c r="H714" i="2"/>
  <c r="I714" i="2" s="1"/>
  <c r="H713" i="2"/>
  <c r="I713" i="2" s="1"/>
  <c r="H712" i="2"/>
  <c r="I712" i="2" s="1"/>
  <c r="H711" i="2"/>
  <c r="I711" i="2" s="1"/>
  <c r="H710" i="2"/>
  <c r="I710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2" i="2"/>
  <c r="I702" i="2" s="1"/>
  <c r="H701" i="2"/>
  <c r="I701" i="2" s="1"/>
  <c r="H700" i="2"/>
  <c r="I700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4" i="2"/>
  <c r="I454" i="2" s="1"/>
  <c r="H453" i="2"/>
  <c r="I453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8" i="2"/>
  <c r="I438" i="2" s="1"/>
  <c r="H437" i="2"/>
  <c r="I437" i="2" s="1"/>
  <c r="H436" i="2"/>
  <c r="I436" i="2" s="1"/>
  <c r="H435" i="2"/>
  <c r="I435" i="2" s="1"/>
  <c r="H434" i="2"/>
  <c r="I434" i="2" s="1"/>
  <c r="H433" i="2"/>
  <c r="I433" i="2" s="1"/>
  <c r="H432" i="2"/>
  <c r="I432" i="2" s="1"/>
  <c r="H431" i="2"/>
  <c r="I431" i="2" s="1"/>
  <c r="H430" i="2"/>
  <c r="I430" i="2" s="1"/>
  <c r="H429" i="2"/>
  <c r="I429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2" i="2"/>
  <c r="I422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4" i="2"/>
  <c r="I414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6" i="2"/>
  <c r="I406" i="2" s="1"/>
  <c r="H699" i="2"/>
  <c r="I699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90" i="2"/>
  <c r="I390" i="2" s="1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4" i="2"/>
  <c r="I374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H365" i="2"/>
  <c r="I365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8" i="2"/>
  <c r="I358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2" i="2"/>
  <c r="I342" i="2" s="1"/>
  <c r="H341" i="2"/>
  <c r="I341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4" i="2"/>
  <c r="I334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8" i="2"/>
  <c r="I318" i="2" s="1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10" i="2"/>
  <c r="I310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698" i="2"/>
  <c r="I698" i="2" s="1"/>
  <c r="H697" i="2"/>
  <c r="I697" i="2" s="1"/>
  <c r="H696" i="2"/>
  <c r="I696" i="2" s="1"/>
  <c r="H695" i="2"/>
  <c r="I695" i="2" s="1"/>
  <c r="H694" i="2"/>
  <c r="I694" i="2" s="1"/>
  <c r="H693" i="2"/>
  <c r="I693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6" i="2"/>
  <c r="I686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8" i="2"/>
  <c r="I678" i="2" s="1"/>
  <c r="H677" i="2"/>
  <c r="I677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70" i="2"/>
  <c r="I670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2" i="2"/>
  <c r="I662" i="2" s="1"/>
  <c r="H661" i="2"/>
  <c r="I661" i="2" s="1"/>
  <c r="H660" i="2"/>
  <c r="I660" i="2" s="1"/>
  <c r="H659" i="2"/>
  <c r="I659" i="2" s="1"/>
  <c r="H658" i="2"/>
  <c r="I658" i="2" s="1"/>
  <c r="H657" i="2"/>
  <c r="I657" i="2" s="1"/>
  <c r="H656" i="2"/>
  <c r="I656" i="2" s="1"/>
  <c r="H655" i="2"/>
  <c r="I655" i="2" s="1"/>
  <c r="H654" i="2"/>
  <c r="I654" i="2" s="1"/>
  <c r="H653" i="2"/>
  <c r="I653" i="2" s="1"/>
  <c r="H652" i="2"/>
  <c r="I652" i="2" s="1"/>
  <c r="H651" i="2"/>
  <c r="I651" i="2" s="1"/>
  <c r="H650" i="2"/>
  <c r="I650" i="2" s="1"/>
  <c r="H649" i="2"/>
  <c r="I649" i="2" s="1"/>
  <c r="H648" i="2"/>
  <c r="I648" i="2" s="1"/>
  <c r="H647" i="2"/>
  <c r="I647" i="2" s="1"/>
  <c r="H646" i="2"/>
  <c r="I646" i="2" s="1"/>
  <c r="H645" i="2"/>
  <c r="I645" i="2" s="1"/>
  <c r="H644" i="2"/>
  <c r="I644" i="2" s="1"/>
  <c r="H643" i="2"/>
  <c r="I643" i="2" s="1"/>
  <c r="H642" i="2"/>
  <c r="I642" i="2" s="1"/>
  <c r="H641" i="2"/>
  <c r="I641" i="2" s="1"/>
  <c r="H640" i="2"/>
  <c r="I640" i="2" s="1"/>
  <c r="H639" i="2"/>
  <c r="I639" i="2" s="1"/>
  <c r="H638" i="2"/>
  <c r="I638" i="2" s="1"/>
  <c r="H637" i="2"/>
  <c r="I637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H630" i="2"/>
  <c r="I630" i="2" s="1"/>
  <c r="H629" i="2"/>
  <c r="I629" i="2" s="1"/>
  <c r="H628" i="2"/>
  <c r="I628" i="2" s="1"/>
  <c r="H287" i="2"/>
  <c r="I287" i="2" s="1"/>
  <c r="H286" i="2"/>
  <c r="I286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8" i="2"/>
  <c r="I278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6" i="2"/>
  <c r="I246" i="2" s="1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8" i="2"/>
  <c r="I238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30" i="2"/>
  <c r="I230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2" i="2"/>
  <c r="I222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4" i="2"/>
  <c r="I214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200" i="2"/>
  <c r="I200" i="2" s="1"/>
  <c r="H199" i="2"/>
  <c r="I199" i="2" s="1"/>
  <c r="H198" i="2"/>
  <c r="I198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4" i="2"/>
  <c r="I174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6" i="2"/>
  <c r="I166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627" i="2"/>
  <c r="I627" i="2" s="1"/>
  <c r="H626" i="2"/>
  <c r="I626" i="2" s="1"/>
  <c r="H625" i="2"/>
  <c r="I625" i="2" s="1"/>
  <c r="H624" i="2"/>
  <c r="I624" i="2" s="1"/>
  <c r="H623" i="2"/>
  <c r="I623" i="2" s="1"/>
  <c r="H622" i="2"/>
  <c r="I622" i="2" s="1"/>
  <c r="H621" i="2"/>
  <c r="I621" i="2" s="1"/>
  <c r="H620" i="2"/>
  <c r="I620" i="2" s="1"/>
  <c r="H619" i="2"/>
  <c r="I619" i="2" s="1"/>
  <c r="H618" i="2"/>
  <c r="I618" i="2" s="1"/>
  <c r="H617" i="2"/>
  <c r="I617" i="2" s="1"/>
  <c r="H616" i="2"/>
  <c r="I616" i="2" s="1"/>
  <c r="H615" i="2"/>
  <c r="I615" i="2" s="1"/>
  <c r="H614" i="2"/>
  <c r="I614" i="2" s="1"/>
  <c r="H613" i="2"/>
  <c r="I613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6" i="2"/>
  <c r="I606" i="2" s="1"/>
  <c r="H605" i="2"/>
  <c r="I605" i="2" s="1"/>
  <c r="H604" i="2"/>
  <c r="I604" i="2" s="1"/>
  <c r="H603" i="2"/>
  <c r="I603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  <c r="H602" i="2"/>
  <c r="I602" i="2" s="1"/>
  <c r="H601" i="2"/>
  <c r="I601" i="2" s="1"/>
  <c r="H600" i="2"/>
  <c r="I600" i="2" s="1"/>
  <c r="H599" i="2"/>
  <c r="I599" i="2" s="1"/>
  <c r="H598" i="2"/>
  <c r="I598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90" i="2"/>
  <c r="I590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</calcChain>
</file>

<file path=xl/sharedStrings.xml><?xml version="1.0" encoding="utf-8"?>
<sst xmlns="http://schemas.openxmlformats.org/spreadsheetml/2006/main" count="6120" uniqueCount="2807">
  <si>
    <t>Cobrança FR</t>
  </si>
  <si>
    <t>Distrato Unilateral</t>
  </si>
  <si>
    <t>1a Onda</t>
  </si>
  <si>
    <t>2a Onda</t>
  </si>
  <si>
    <t>3a Onda</t>
  </si>
  <si>
    <t>Cobrança Judicial</t>
  </si>
  <si>
    <t>Notificação</t>
  </si>
  <si>
    <t>Rescisão</t>
  </si>
  <si>
    <t>Unidades</t>
  </si>
  <si>
    <t>Proprietário</t>
  </si>
  <si>
    <t>Empresa</t>
  </si>
  <si>
    <t>Documento/Título</t>
  </si>
  <si>
    <t>Data da venda</t>
  </si>
  <si>
    <t>Atraso desde</t>
  </si>
  <si>
    <t>Data base</t>
  </si>
  <si>
    <t>Dias em atraso</t>
  </si>
  <si>
    <t>Faixa</t>
  </si>
  <si>
    <t>Qtd de parcelas</t>
  </si>
  <si>
    <t>Valor corrigido</t>
  </si>
  <si>
    <t>Acréscimos</t>
  </si>
  <si>
    <t>Atraso atualizado</t>
  </si>
  <si>
    <t>Valor recebido sem acréscimos</t>
  </si>
  <si>
    <t>Saldo devedor</t>
  </si>
  <si>
    <t>QHL23</t>
  </si>
  <si>
    <t>Francilene dos Santos Araújo Moura</t>
  </si>
  <si>
    <t>DUNAMIS</t>
  </si>
  <si>
    <t>CT 6420 / 6649</t>
  </si>
  <si>
    <t>22/07/2024</t>
  </si>
  <si>
    <t>20/12/2025</t>
  </si>
  <si>
    <t>QLL17</t>
  </si>
  <si>
    <t>RODRIGO CALDEIRA MOREIRA SANTOS</t>
  </si>
  <si>
    <t>ALTOS DE PRUDENTE</t>
  </si>
  <si>
    <t>CT 5919 / 1307</t>
  </si>
  <si>
    <t>31/01/2024</t>
  </si>
  <si>
    <t>25/10/2025</t>
  </si>
  <si>
    <t>Q14L29</t>
  </si>
  <si>
    <t>AFONSO CLAUDIO MONTEIRO SALES FILHO</t>
  </si>
  <si>
    <t>BE UP</t>
  </si>
  <si>
    <t>CT 7001 / 487</t>
  </si>
  <si>
    <t>22/01/2025</t>
  </si>
  <si>
    <t>Q16L03</t>
  </si>
  <si>
    <t>ANTONIO MARCOS TEXEIRA DO ESPIRITO SANTOS JUNIOR</t>
  </si>
  <si>
    <t>CT 7470 / 406</t>
  </si>
  <si>
    <t>16/05/2025</t>
  </si>
  <si>
    <t>25/11/2025</t>
  </si>
  <si>
    <t>Q17L30</t>
  </si>
  <si>
    <t>CAIO MALAQUIAS DE FREITAS MOREIRA</t>
  </si>
  <si>
    <t>CT CV134577630 / 7008</t>
  </si>
  <si>
    <t>Q26L37</t>
  </si>
  <si>
    <t>DANIEL MUNHOS</t>
  </si>
  <si>
    <t>JD ARIZONA</t>
  </si>
  <si>
    <t>CT CV182326498 / 6137</t>
  </si>
  <si>
    <t>14/08/2025</t>
  </si>
  <si>
    <t>10/11/2025</t>
  </si>
  <si>
    <t>Q16L08</t>
  </si>
  <si>
    <t>DANIELLE PAIVA BARBOSA</t>
  </si>
  <si>
    <t>CT CV139506849 / 6212</t>
  </si>
  <si>
    <t>10/09/2025</t>
  </si>
  <si>
    <t>Q16L06</t>
  </si>
  <si>
    <t>David de Assis Borges</t>
  </si>
  <si>
    <t>CT 7595 / 5853</t>
  </si>
  <si>
    <t>19/07/2025</t>
  </si>
  <si>
    <t>05/12/2025</t>
  </si>
  <si>
    <t>Q23L21</t>
  </si>
  <si>
    <t>DRIELY DE ALMEIDA CARRIJO</t>
  </si>
  <si>
    <t>CT 7630 / 2321</t>
  </si>
  <si>
    <t>28/06/2025</t>
  </si>
  <si>
    <t>Q22L10</t>
  </si>
  <si>
    <t>EDSON DE OLIVEIRA DA SILVA</t>
  </si>
  <si>
    <t>CT 7174 / 565</t>
  </si>
  <si>
    <t>07/04/2025</t>
  </si>
  <si>
    <t>Q28L28</t>
  </si>
  <si>
    <t>FERNANDO ADRIANO BARBOSA</t>
  </si>
  <si>
    <t>CT CV183086629 / 6119</t>
  </si>
  <si>
    <t>13/08/2025</t>
  </si>
  <si>
    <t>15/11/2025</t>
  </si>
  <si>
    <t>Q05L29</t>
  </si>
  <si>
    <t>GUILHERME CISCONETO GALHIEGO</t>
  </si>
  <si>
    <t>CT 6839 / 3270</t>
  </si>
  <si>
    <t>12/11/2024</t>
  </si>
  <si>
    <t>Q15L32</t>
  </si>
  <si>
    <t>JHONATAN TERRA RIBEIRO</t>
  </si>
  <si>
    <t>CT 6723 / 576</t>
  </si>
  <si>
    <t>16/10/2024</t>
  </si>
  <si>
    <t>31/10/2025</t>
  </si>
  <si>
    <t>Q20L06</t>
  </si>
  <si>
    <t>KAUAN ANACLETO PINHEIRO DE ANDRADE</t>
  </si>
  <si>
    <t>CT CV136896869 / 6244</t>
  </si>
  <si>
    <t>Q28L24</t>
  </si>
  <si>
    <t>KLEBER ROBERTO DE PAULA</t>
  </si>
  <si>
    <t>CT CV183044311 / 6122</t>
  </si>
  <si>
    <t>07/08/2025</t>
  </si>
  <si>
    <t>QHL31</t>
  </si>
  <si>
    <t>ROSANGELA DE CASSIA PEREZ DE LIMA ROSA</t>
  </si>
  <si>
    <t>JD AMÉRICA</t>
  </si>
  <si>
    <t>CT H31 / 6378</t>
  </si>
  <si>
    <t>29/09/2025</t>
  </si>
  <si>
    <t>QHL32</t>
  </si>
  <si>
    <t>CT CV97137063 / 6379</t>
  </si>
  <si>
    <t>Q25L28</t>
  </si>
  <si>
    <t>Vitoria Silva Santos</t>
  </si>
  <si>
    <t>CT 7614 / 2642</t>
  </si>
  <si>
    <t>25/06/2025</t>
  </si>
  <si>
    <t>Q31L25</t>
  </si>
  <si>
    <t>WALAFER DE CASTRO FERREIRA</t>
  </si>
  <si>
    <t>CT 6583 / 2741</t>
  </si>
  <si>
    <t>03/09/2024</t>
  </si>
  <si>
    <t>12/12/2025</t>
  </si>
  <si>
    <t>QBL34</t>
  </si>
  <si>
    <t>ADRIANA DAS NEVES JERONIMO</t>
  </si>
  <si>
    <t>CT 5082 / 1027</t>
  </si>
  <si>
    <t>17/05/2023</t>
  </si>
  <si>
    <t>05/11/2025</t>
  </si>
  <si>
    <t>QBL08</t>
  </si>
  <si>
    <t>AF ROLAMENTOS E ACESSÓRIOS INDUSTRIAIS L</t>
  </si>
  <si>
    <t>VISTA DAS COLINAS</t>
  </si>
  <si>
    <t>CT 7182 / 5956</t>
  </si>
  <si>
    <t>16/04/2025</t>
  </si>
  <si>
    <t>QCL15</t>
  </si>
  <si>
    <t>ALBENIZE DE LIMA MONTEIRO</t>
  </si>
  <si>
    <t>MANGUEIRAS</t>
  </si>
  <si>
    <t>CT 3025 / 4543</t>
  </si>
  <si>
    <t>18/01/2021</t>
  </si>
  <si>
    <t>Q20L29</t>
  </si>
  <si>
    <t>ALDELANA BEATRIZ SOUZA DEOLINDO GOMES</t>
  </si>
  <si>
    <t>CT 6935 / 669</t>
  </si>
  <si>
    <t>F01QBL27</t>
  </si>
  <si>
    <t>ALEX ANICETO FERREIRA</t>
  </si>
  <si>
    <t>JD DOS ABREUS</t>
  </si>
  <si>
    <t>CT 4646 / 1853</t>
  </si>
  <si>
    <t>05/04/2023</t>
  </si>
  <si>
    <t>F01QDL18</t>
  </si>
  <si>
    <t>ALEX PEREIRA DA SILVA</t>
  </si>
  <si>
    <t>CT 2023 / 1493</t>
  </si>
  <si>
    <t>10/05/2020</t>
  </si>
  <si>
    <t>10/12/2025</t>
  </si>
  <si>
    <t>F01QJL05</t>
  </si>
  <si>
    <t>ALEXANDRE MARCON</t>
  </si>
  <si>
    <t>CT 3763 / 2089</t>
  </si>
  <si>
    <t>01/12/2021</t>
  </si>
  <si>
    <t>F02QDL09</t>
  </si>
  <si>
    <t>ALEXSANDRO BOMFIM MENESES</t>
  </si>
  <si>
    <t>CT 4024 / 1426</t>
  </si>
  <si>
    <t>01/02/2022</t>
  </si>
  <si>
    <t>15/12/2025</t>
  </si>
  <si>
    <t>Q12L11</t>
  </si>
  <si>
    <t>ana claudia cunha abrao</t>
  </si>
  <si>
    <t>CT 5612 / 2525</t>
  </si>
  <si>
    <t>05/10/2023</t>
  </si>
  <si>
    <t>Q01L20</t>
  </si>
  <si>
    <t>ANDRÉ BARCELOS DE OLIVEIRA</t>
  </si>
  <si>
    <t>CT 5500 / 553</t>
  </si>
  <si>
    <t>21/08/2023</t>
  </si>
  <si>
    <t>20/11/2025</t>
  </si>
  <si>
    <t>Q22L14</t>
  </si>
  <si>
    <t>Angela Dias de Azevedo Pulli</t>
  </si>
  <si>
    <t>CT 5724 / 2938</t>
  </si>
  <si>
    <t>21/12/2023</t>
  </si>
  <si>
    <t>Q20L03</t>
  </si>
  <si>
    <t>Antonia Delmondes Rigaud</t>
  </si>
  <si>
    <t>CT 7591 / 5844</t>
  </si>
  <si>
    <t>15/07/2025</t>
  </si>
  <si>
    <t>Q26L22S</t>
  </si>
  <si>
    <t>ANTONIA EDVAN DA SILVA</t>
  </si>
  <si>
    <t>CONQUISTA</t>
  </si>
  <si>
    <t>CT 7274 / 4172</t>
  </si>
  <si>
    <t>01/03/2025</t>
  </si>
  <si>
    <t>QIL47</t>
  </si>
  <si>
    <t>Antonio Maciel Pereira</t>
  </si>
  <si>
    <t>CT 3675 / 6508</t>
  </si>
  <si>
    <t>01/11/2021</t>
  </si>
  <si>
    <t>QIL48</t>
  </si>
  <si>
    <t>CT 7089 / 6484</t>
  </si>
  <si>
    <t>07/03/2025</t>
  </si>
  <si>
    <t>02/12/2025</t>
  </si>
  <si>
    <t>Q32L24</t>
  </si>
  <si>
    <t>Carlos Eduardo de Oliveira</t>
  </si>
  <si>
    <t>CT 6027 / 2359</t>
  </si>
  <si>
    <t>23/03/2024</t>
  </si>
  <si>
    <t>F01QQL08</t>
  </si>
  <si>
    <t>CARLOS EDUARDO DOS SANTOS</t>
  </si>
  <si>
    <t>CT 3545 / 2033</t>
  </si>
  <si>
    <t>01/09/2021</t>
  </si>
  <si>
    <t>21/12/2025</t>
  </si>
  <si>
    <t>QJL21</t>
  </si>
  <si>
    <t>CARLOS EVANDRO DE FARIA</t>
  </si>
  <si>
    <t>CT 3489 / 6594</t>
  </si>
  <si>
    <t>30/08/2021</t>
  </si>
  <si>
    <t>QRL03</t>
  </si>
  <si>
    <t>Cesar Augusto Jana</t>
  </si>
  <si>
    <t>FAZENDA PALMEIRAS</t>
  </si>
  <si>
    <t>CT CVABMAIS225009144 / 7864</t>
  </si>
  <si>
    <t>Q03L06</t>
  </si>
  <si>
    <t>CLAUDIO MARQUES COSTA JUNIOR</t>
  </si>
  <si>
    <t>MOVE UP</t>
  </si>
  <si>
    <t>CT 3760 / 237</t>
  </si>
  <si>
    <t>02/12/2021</t>
  </si>
  <si>
    <t>07/12/2025</t>
  </si>
  <si>
    <t>QDL32</t>
  </si>
  <si>
    <t>CLAYTON CHRISTIAN MEIRA</t>
  </si>
  <si>
    <t>CT 6256 / 5957</t>
  </si>
  <si>
    <t>15/06/2024</t>
  </si>
  <si>
    <t>QFL34</t>
  </si>
  <si>
    <t>CLEBSON LEITE DA SILVA</t>
  </si>
  <si>
    <t>CT 4471 / 6610</t>
  </si>
  <si>
    <t>07/02/2023</t>
  </si>
  <si>
    <t>QQL09</t>
  </si>
  <si>
    <t>CT 4472 / 6402</t>
  </si>
  <si>
    <t>07/11/2025</t>
  </si>
  <si>
    <t>QYL07</t>
  </si>
  <si>
    <t>Cledson Marascalchi</t>
  </si>
  <si>
    <t>CT CV226757333 / 6854</t>
  </si>
  <si>
    <t>16/10/2025</t>
  </si>
  <si>
    <t>QYL06</t>
  </si>
  <si>
    <t>CT CV226747324 / 6788</t>
  </si>
  <si>
    <t>11/10/2025</t>
  </si>
  <si>
    <t>F01QIL12</t>
  </si>
  <si>
    <t>CLERISMAR DUTRA DE OLIVEIRA</t>
  </si>
  <si>
    <t>CT 7122 / 1745</t>
  </si>
  <si>
    <t>21/03/2025</t>
  </si>
  <si>
    <t>QBL18</t>
  </si>
  <si>
    <t>Clodoaldo Pereira</t>
  </si>
  <si>
    <t>CT 5999 / 957</t>
  </si>
  <si>
    <t>01/03/2024</t>
  </si>
  <si>
    <t>QBL19</t>
  </si>
  <si>
    <t>CT 7635 / 970</t>
  </si>
  <si>
    <t>04/06/2025</t>
  </si>
  <si>
    <t>QPL01</t>
  </si>
  <si>
    <t>DENEVALDO DELLA VALENTINA BANDEIRA</t>
  </si>
  <si>
    <t>CT CV76637062 / 6891</t>
  </si>
  <si>
    <t>01/10/2025</t>
  </si>
  <si>
    <t>Q35L06</t>
  </si>
  <si>
    <t>DIOGO RODRIGUES DIAS</t>
  </si>
  <si>
    <t>CT 4709 / 2232</t>
  </si>
  <si>
    <t>27/04/2023</t>
  </si>
  <si>
    <t>F01QNL24</t>
  </si>
  <si>
    <t>EDILSON OLIVEIRA MARTINS</t>
  </si>
  <si>
    <t>CT 1053 / 1570</t>
  </si>
  <si>
    <t>11/08/2018</t>
  </si>
  <si>
    <t>30/11/2025</t>
  </si>
  <si>
    <t>Q23L05B</t>
  </si>
  <si>
    <t>EDISON LOBATO DOS SANTOS</t>
  </si>
  <si>
    <t>CT 7581 / 4150</t>
  </si>
  <si>
    <t>29/05/2025</t>
  </si>
  <si>
    <t>QEL21</t>
  </si>
  <si>
    <t>EDISON LUIZ DE ALMEIDA</t>
  </si>
  <si>
    <t>CT 3080 / 786</t>
  </si>
  <si>
    <t>01/03/2021</t>
  </si>
  <si>
    <t>Q25L08</t>
  </si>
  <si>
    <t>Eduardo César Santos Ferreira</t>
  </si>
  <si>
    <t>CT 5448 / 3335</t>
  </si>
  <si>
    <t>03/08/2023</t>
  </si>
  <si>
    <t>QIL64</t>
  </si>
  <si>
    <t>EDVANILDO AUGUSTO NORONHA</t>
  </si>
  <si>
    <t>CT 3855 / 6652</t>
  </si>
  <si>
    <t>F01QLL33</t>
  </si>
  <si>
    <t>ELIAS FELIZARDO</t>
  </si>
  <si>
    <t>CT 823 / 1923</t>
  </si>
  <si>
    <t>13/03/2018</t>
  </si>
  <si>
    <t>Q06L27</t>
  </si>
  <si>
    <t>Eurivan Da Silva Alves</t>
  </si>
  <si>
    <t>CT 6023 / 2944</t>
  </si>
  <si>
    <t>14/03/2024</t>
  </si>
  <si>
    <t>QZL05</t>
  </si>
  <si>
    <t>FELIPE AUGUSTO ALQUAZ CAVALINI</t>
  </si>
  <si>
    <t>CT CV227067328 / 7151</t>
  </si>
  <si>
    <t>01/11/2025</t>
  </si>
  <si>
    <t>Q03L02</t>
  </si>
  <si>
    <t>FLAVIANO ALMEIDA</t>
  </si>
  <si>
    <t>CT 4669 / 3034</t>
  </si>
  <si>
    <t>22/04/2023</t>
  </si>
  <si>
    <t>30/10/2025</t>
  </si>
  <si>
    <t>Q24L05</t>
  </si>
  <si>
    <t>Gabriel de Oliveira Azevedo</t>
  </si>
  <si>
    <t>CT 6827 / 748</t>
  </si>
  <si>
    <t>01/11/2024</t>
  </si>
  <si>
    <t>Q12L24</t>
  </si>
  <si>
    <t>Gabriel Menezes Motta</t>
  </si>
  <si>
    <t>CT 6342 / 736</t>
  </si>
  <si>
    <t>05/07/2024</t>
  </si>
  <si>
    <t>QIL10</t>
  </si>
  <si>
    <t>GEDEAO FERREIRA BARBOSA DOS SANTOS</t>
  </si>
  <si>
    <t>CT 7633 / 832</t>
  </si>
  <si>
    <t>23/06/2025</t>
  </si>
  <si>
    <t>QIL05</t>
  </si>
  <si>
    <t>GILBERTO ALMEIDA DOS SANTOS</t>
  </si>
  <si>
    <t>CT 1672 / 6537</t>
  </si>
  <si>
    <t>01/11/2019</t>
  </si>
  <si>
    <t>QBL10</t>
  </si>
  <si>
    <t>GILBERTO BRITO RODRIGUES JUNIOR</t>
  </si>
  <si>
    <t>CT 3623 / 4597</t>
  </si>
  <si>
    <t>17/09/2021</t>
  </si>
  <si>
    <t>Q13L12</t>
  </si>
  <si>
    <t>GRAZIELI AZEVEDO DA SILVA</t>
  </si>
  <si>
    <t>CT 3966 / 681</t>
  </si>
  <si>
    <t>20/12/2021</t>
  </si>
  <si>
    <t>QFL19</t>
  </si>
  <si>
    <t>Guardiões Segurança Eletrônica LTDA</t>
  </si>
  <si>
    <t>CT 6332 / 1396</t>
  </si>
  <si>
    <t>26/06/2024</t>
  </si>
  <si>
    <t>Q36L17</t>
  </si>
  <si>
    <t>GUILHERME HENRIQUE GOMES</t>
  </si>
  <si>
    <t>CT CV185356716 / 6168</t>
  </si>
  <si>
    <t>01/09/2025</t>
  </si>
  <si>
    <t>QHL22</t>
  </si>
  <si>
    <t>HENRIQUE BEZERRA DE MELO</t>
  </si>
  <si>
    <t>CT 6423 / 1384</t>
  </si>
  <si>
    <t>28/11/2025</t>
  </si>
  <si>
    <t>F01QDL14</t>
  </si>
  <si>
    <t>HILTON DELAMARES BOMFIM</t>
  </si>
  <si>
    <t>CT 697 / 1798</t>
  </si>
  <si>
    <t>28/12/2017</t>
  </si>
  <si>
    <t>Q12L14</t>
  </si>
  <si>
    <t>IAN SANTOS DA SILVA</t>
  </si>
  <si>
    <t>CT 5176 / 448</t>
  </si>
  <si>
    <t>18/05/2023</t>
  </si>
  <si>
    <t>Q25L31</t>
  </si>
  <si>
    <t>Isaac Santos Silva</t>
  </si>
  <si>
    <t>CT 6887 / 2454</t>
  </si>
  <si>
    <t>30/11/2024</t>
  </si>
  <si>
    <t>Q05L02</t>
  </si>
  <si>
    <t>Ismael Bento de Oliveira</t>
  </si>
  <si>
    <t>CT 6359 / 471</t>
  </si>
  <si>
    <t>12/07/2024</t>
  </si>
  <si>
    <t>Q05L01</t>
  </si>
  <si>
    <t>CT 6914 / 464</t>
  </si>
  <si>
    <t>11/12/2024</t>
  </si>
  <si>
    <t>F01QLL26</t>
  </si>
  <si>
    <t>Israel Pereira da Silva</t>
  </si>
  <si>
    <t>CT 5646 / 1969</t>
  </si>
  <si>
    <t>07/11/2023</t>
  </si>
  <si>
    <t>Q19L13</t>
  </si>
  <si>
    <t>Itamar dos Reis rodrigues</t>
  </si>
  <si>
    <t>CT 5137 / 3152</t>
  </si>
  <si>
    <t>05/05/2023</t>
  </si>
  <si>
    <t>IVAN DOS SANTOS PAIVA</t>
  </si>
  <si>
    <t>CT 2953 / 6635</t>
  </si>
  <si>
    <t>11/12/2020</t>
  </si>
  <si>
    <t>27/11/2025</t>
  </si>
  <si>
    <t>Q02L15</t>
  </si>
  <si>
    <t>Jeferson França Pereira de Alvarenga</t>
  </si>
  <si>
    <t>CT 6709 / 405</t>
  </si>
  <si>
    <t>07/10/2024</t>
  </si>
  <si>
    <t>QSL14</t>
  </si>
  <si>
    <t>JOAO VITOR DE ORNELAS GOMES</t>
  </si>
  <si>
    <t>CT CV225467161 / 6837</t>
  </si>
  <si>
    <t>17/10/2025</t>
  </si>
  <si>
    <t>QCL44</t>
  </si>
  <si>
    <t>Joel Felix Dos Reis</t>
  </si>
  <si>
    <t>ALTOS DE JANDIRA</t>
  </si>
  <si>
    <t>CT 5712 / 1075</t>
  </si>
  <si>
    <t>01/12/2023</t>
  </si>
  <si>
    <t>F01QQL04</t>
  </si>
  <si>
    <t>JOELIA ARAUJO SAMPAIO DE SOUZA</t>
  </si>
  <si>
    <t>CT 552 / 1567</t>
  </si>
  <si>
    <t>01/11/2017</t>
  </si>
  <si>
    <t>QFL28</t>
  </si>
  <si>
    <t>JOSÉ CARLOS DA SILVA</t>
  </si>
  <si>
    <t>CT 3408 / 6638</t>
  </si>
  <si>
    <t>30/07/2021</t>
  </si>
  <si>
    <t>Q14L31</t>
  </si>
  <si>
    <t>Jose Eduardo Canassa Do Nascimento</t>
  </si>
  <si>
    <t>CT 7162 / 2983</t>
  </si>
  <si>
    <t>02/04/2025</t>
  </si>
  <si>
    <t>04/12/2025</t>
  </si>
  <si>
    <t>QZL10</t>
  </si>
  <si>
    <t>JOSÉ HENRIQUE RODRIGUES</t>
  </si>
  <si>
    <t>CT CV227117378 / 6862</t>
  </si>
  <si>
    <t>10/10/2025</t>
  </si>
  <si>
    <t>QIL17</t>
  </si>
  <si>
    <t>JOSIAS PINTO LIMA</t>
  </si>
  <si>
    <t>CT 3556 / 6648</t>
  </si>
  <si>
    <t>06/09/2021</t>
  </si>
  <si>
    <t>Q14L20</t>
  </si>
  <si>
    <t>Julia da Silva Santos Pereira</t>
  </si>
  <si>
    <t>CT 6418 / 686</t>
  </si>
  <si>
    <t>24/07/2024</t>
  </si>
  <si>
    <t>Q05L17</t>
  </si>
  <si>
    <t>KATIA PATRICIA RODRIGUES MIGUEL</t>
  </si>
  <si>
    <t>CT 5663 / 2695</t>
  </si>
  <si>
    <t>13/11/2023</t>
  </si>
  <si>
    <t>QIL46</t>
  </si>
  <si>
    <t>KELLY GOMES DE SOUZA PEREIRA</t>
  </si>
  <si>
    <t>CT 3519 / 6517</t>
  </si>
  <si>
    <t>01/08/2021</t>
  </si>
  <si>
    <t>Q26L31</t>
  </si>
  <si>
    <t>LEANDRA MELO VIEIRA MARQUES</t>
  </si>
  <si>
    <t>CT CV182286754 / 6164</t>
  </si>
  <si>
    <t>04/09/2025</t>
  </si>
  <si>
    <t>Q37L02</t>
  </si>
  <si>
    <t>Leonardo Monteiro Palmares</t>
  </si>
  <si>
    <t>CT 6017 / 2977</t>
  </si>
  <si>
    <t>13/03/2024</t>
  </si>
  <si>
    <t>F01QEL10</t>
  </si>
  <si>
    <t>LEUZA GARCIA GOMES</t>
  </si>
  <si>
    <t>CT 1164 / 1843</t>
  </si>
  <si>
    <t>04/11/2018</t>
  </si>
  <si>
    <t>Q07L31</t>
  </si>
  <si>
    <t>Lisandro Paulo Souza Barbosa</t>
  </si>
  <si>
    <t>CT 6575 / 3307</t>
  </si>
  <si>
    <t>31/08/2024</t>
  </si>
  <si>
    <t>Q31L18</t>
  </si>
  <si>
    <t>LUCAS CORRÊA NASCIMENTO DA SILVA</t>
  </si>
  <si>
    <t>CT 7665 / 5845</t>
  </si>
  <si>
    <t>03/07/2025</t>
  </si>
  <si>
    <t>F01QNL02</t>
  </si>
  <si>
    <t>LUIS FERNANDO MOLINA</t>
  </si>
  <si>
    <t>CT 3587 / 1884</t>
  </si>
  <si>
    <t>22/09/2021</t>
  </si>
  <si>
    <t>Q04L14</t>
  </si>
  <si>
    <t>MARCIO DE SOUZA LOPES</t>
  </si>
  <si>
    <t>CT 6008 / 692</t>
  </si>
  <si>
    <t>12/03/2024</t>
  </si>
  <si>
    <t>QNL21</t>
  </si>
  <si>
    <t>Marcio Rubens Da Silva</t>
  </si>
  <si>
    <t>CT 4070 / 6404</t>
  </si>
  <si>
    <t>01/03/2022</t>
  </si>
  <si>
    <t>QLL08</t>
  </si>
  <si>
    <t>Marco Antonio Carvalho Dos Santos</t>
  </si>
  <si>
    <t>CT 3284 / 6449</t>
  </si>
  <si>
    <t>01/06/2021</t>
  </si>
  <si>
    <t>Q08L13</t>
  </si>
  <si>
    <t>Marco Aurélio Xavier de Mendonça</t>
  </si>
  <si>
    <t>CT 6358 / 528</t>
  </si>
  <si>
    <t>10/07/2024</t>
  </si>
  <si>
    <t>Q07L29</t>
  </si>
  <si>
    <t>Maria Izabel Madureira Martins</t>
  </si>
  <si>
    <t>CT 6343 / 759</t>
  </si>
  <si>
    <t>06/07/2024</t>
  </si>
  <si>
    <t>Q08L15</t>
  </si>
  <si>
    <t>Maria Leticia de Azevedo Ribeiro</t>
  </si>
  <si>
    <t>CT 6362 / 625</t>
  </si>
  <si>
    <t>Q40L01</t>
  </si>
  <si>
    <t>MARILENA APARECIDA MOREIRA SILVA</t>
  </si>
  <si>
    <t>CT 5548 / 2698</t>
  </si>
  <si>
    <t>25/09/2023</t>
  </si>
  <si>
    <t>QHL05</t>
  </si>
  <si>
    <t>MARILIA MIRANDA DE NOVAES</t>
  </si>
  <si>
    <t>CT 6270 / 5927</t>
  </si>
  <si>
    <t>Q29L02</t>
  </si>
  <si>
    <t>MARIVALDO AUGUSTO SALES</t>
  </si>
  <si>
    <t>CT 5375 / 2274</t>
  </si>
  <si>
    <t>03/05/2023</t>
  </si>
  <si>
    <t>QKL09</t>
  </si>
  <si>
    <t>MARIVALDO SANTOS DE LIMA CARDOSO</t>
  </si>
  <si>
    <t>CT 4271 / 6417</t>
  </si>
  <si>
    <t>01/08/2022</t>
  </si>
  <si>
    <t>QDL20</t>
  </si>
  <si>
    <t>MARIZA DA SILVA TAVARES</t>
  </si>
  <si>
    <t>CT 2917 / 4547</t>
  </si>
  <si>
    <t>15/11/2020</t>
  </si>
  <si>
    <t>MARSAL MARTINS DE OLIVEIRA</t>
  </si>
  <si>
    <t>CT 5226 / 2889</t>
  </si>
  <si>
    <t>28/06/2023</t>
  </si>
  <si>
    <t>QLL28</t>
  </si>
  <si>
    <t>MATHEUS DE JORGE SCARPELLI</t>
  </si>
  <si>
    <t>CT CV226557567 / 6916</t>
  </si>
  <si>
    <t>24/10/2025</t>
  </si>
  <si>
    <t>QFL07</t>
  </si>
  <si>
    <t>Mauricio Braian Rodrigues Moreira</t>
  </si>
  <si>
    <t>CT 2072 / 4604</t>
  </si>
  <si>
    <t>01/06/2020</t>
  </si>
  <si>
    <t>Q08L09</t>
  </si>
  <si>
    <t>Maurício da Silva Souza</t>
  </si>
  <si>
    <t>CT 7148 / 637</t>
  </si>
  <si>
    <t>26/03/2025</t>
  </si>
  <si>
    <t>QCL16</t>
  </si>
  <si>
    <t>MAYARA MICHELLE LOBATO ROSSY FARIA</t>
  </si>
  <si>
    <t>CT 1781 / 4659</t>
  </si>
  <si>
    <t>01/01/2020</t>
  </si>
  <si>
    <t>Q35L14</t>
  </si>
  <si>
    <t>NELIO BELARMINO FERREIRA</t>
  </si>
  <si>
    <t>CT CV185126741 / 6236</t>
  </si>
  <si>
    <t>05/09/2025</t>
  </si>
  <si>
    <t>QPL06</t>
  </si>
  <si>
    <t>OSMARI VIRGINIA MENDONÇA ANDRADE</t>
  </si>
  <si>
    <t>CT CV224627439 / 6871</t>
  </si>
  <si>
    <t>QBL38</t>
  </si>
  <si>
    <t>PAULO EGIDIO VALENTE</t>
  </si>
  <si>
    <t>CT 7015 / 5916</t>
  </si>
  <si>
    <t>14/01/2025</t>
  </si>
  <si>
    <t>Q15L04</t>
  </si>
  <si>
    <t>Paulo Felipe Faria Gomes</t>
  </si>
  <si>
    <t>CT 6463 / 660</t>
  </si>
  <si>
    <t>31/07/2024</t>
  </si>
  <si>
    <t>Q02L12</t>
  </si>
  <si>
    <t>PEDRO AUGUSTO IGNACIO SILVA</t>
  </si>
  <si>
    <t>CT 3991 / 235</t>
  </si>
  <si>
    <t>01/01/2022</t>
  </si>
  <si>
    <t>Q02L11</t>
  </si>
  <si>
    <t>CT 3822 / 217</t>
  </si>
  <si>
    <t>Q15L19</t>
  </si>
  <si>
    <t>Pedro Cesar Ritucci</t>
  </si>
  <si>
    <t>CT 5446 / 3284</t>
  </si>
  <si>
    <t>04/08/2023</t>
  </si>
  <si>
    <t>Q15L18</t>
  </si>
  <si>
    <t>CT 5449 / 2621</t>
  </si>
  <si>
    <t>02/08/2023</t>
  </si>
  <si>
    <t>27/10/2025</t>
  </si>
  <si>
    <t>Q06L26</t>
  </si>
  <si>
    <t>PEDRO PAULO BARBOSA NUNES</t>
  </si>
  <si>
    <t>CT 3745 / 304</t>
  </si>
  <si>
    <t>03/12/2021</t>
  </si>
  <si>
    <t>Q05L18</t>
  </si>
  <si>
    <t>Rafael Ferreira da Silva</t>
  </si>
  <si>
    <t>CT 5349 / 552</t>
  </si>
  <si>
    <t>05/07/2023</t>
  </si>
  <si>
    <t>QYL09</t>
  </si>
  <si>
    <t>RAFAEL JUNIOR CASAGRANDE</t>
  </si>
  <si>
    <t>CT CV226777374 / 6879</t>
  </si>
  <si>
    <t>F01QGL60</t>
  </si>
  <si>
    <t>RAFAEL VAZ DOS SANTOS</t>
  </si>
  <si>
    <t>CT 567 / 1638</t>
  </si>
  <si>
    <t>QCL29</t>
  </si>
  <si>
    <t>RAPHAEL IORE CATAPANI CAVALCANTI</t>
  </si>
  <si>
    <t>CT 4006 / 816</t>
  </si>
  <si>
    <t>28/01/2022</t>
  </si>
  <si>
    <t>F01QLL27</t>
  </si>
  <si>
    <t>REBECA DE OLIVEIRA COSTA</t>
  </si>
  <si>
    <t>CT CV156847096 / 6384</t>
  </si>
  <si>
    <t>30/09/2025</t>
  </si>
  <si>
    <t>QKL20</t>
  </si>
  <si>
    <t>RICARDO DE CARVALHO APRIGLIANO</t>
  </si>
  <si>
    <t>CT 4179 / 1201</t>
  </si>
  <si>
    <t>01/05/2022</t>
  </si>
  <si>
    <t>QKL21</t>
  </si>
  <si>
    <t>CT 4180 / 1292</t>
  </si>
  <si>
    <t>Q09L08</t>
  </si>
  <si>
    <t>RICARDO DE JESUS ROLDÃO SANTOS</t>
  </si>
  <si>
    <t>CT 7453 / 572</t>
  </si>
  <si>
    <t>10/05/2025</t>
  </si>
  <si>
    <t>QHL13</t>
  </si>
  <si>
    <t>RICARDO FERRON</t>
  </si>
  <si>
    <t>CT 4172 / 1298</t>
  </si>
  <si>
    <t>Q13L04</t>
  </si>
  <si>
    <t>ROBERLI SOARES ROCHA</t>
  </si>
  <si>
    <t>CT 6040 / 2838</t>
  </si>
  <si>
    <t>28/03/2024</t>
  </si>
  <si>
    <t>Q22L18</t>
  </si>
  <si>
    <t>Robson de Souza Gomes</t>
  </si>
  <si>
    <t>CT 7054 / 758</t>
  </si>
  <si>
    <t>12/02/2025</t>
  </si>
  <si>
    <t>QYL02</t>
  </si>
  <si>
    <t>RODRIGO DE SOUZA</t>
  </si>
  <si>
    <t>CT CV226707227 / 6787</t>
  </si>
  <si>
    <t>QIL21</t>
  </si>
  <si>
    <t>RODRIGO RAMOS SILVEIRA</t>
  </si>
  <si>
    <t>CT 3487 / 6646</t>
  </si>
  <si>
    <t>Q03L25</t>
  </si>
  <si>
    <t>Rogério Correa Azevedo</t>
  </si>
  <si>
    <t>CT 6013 / 394</t>
  </si>
  <si>
    <t>Q33L16</t>
  </si>
  <si>
    <t>ROGERIO RODRIGUES DA COSTA</t>
  </si>
  <si>
    <t>CT CV184743938 / 6009</t>
  </si>
  <si>
    <t>05/08/2025</t>
  </si>
  <si>
    <t>QAL39</t>
  </si>
  <si>
    <t>RONALDO PEREIRA DA SILVA</t>
  </si>
  <si>
    <t>CT 2101 / 1163</t>
  </si>
  <si>
    <t>09/06/2020</t>
  </si>
  <si>
    <t>QGL10</t>
  </si>
  <si>
    <t>RONMONIK FONSECA DAMASCENO</t>
  </si>
  <si>
    <t>CT 3117 / 4487</t>
  </si>
  <si>
    <t>01/04/2021</t>
  </si>
  <si>
    <t>QQL08</t>
  </si>
  <si>
    <t>Sergio Floriano da Silva</t>
  </si>
  <si>
    <t>CT CVABMAIS224948059 / 7553</t>
  </si>
  <si>
    <t>22/11/2025</t>
  </si>
  <si>
    <t>Q20L02</t>
  </si>
  <si>
    <t>SÉRGIO XAVIER</t>
  </si>
  <si>
    <t>CT 5212 / 2881</t>
  </si>
  <si>
    <t>13/06/2023</t>
  </si>
  <si>
    <t>F01QKL18</t>
  </si>
  <si>
    <t>SIMONE SILVA NUNES DE LACERDA</t>
  </si>
  <si>
    <t>CT 512 / 1801</t>
  </si>
  <si>
    <t>01/10/2017</t>
  </si>
  <si>
    <t>QJL25</t>
  </si>
  <si>
    <t>TATIANE ALVES DE SOUZA SANTOS</t>
  </si>
  <si>
    <t>CT 2553 / 6632</t>
  </si>
  <si>
    <t>12/08/2020</t>
  </si>
  <si>
    <t>QGL49</t>
  </si>
  <si>
    <t>THALES RODRIGUES</t>
  </si>
  <si>
    <t>CT 2590 / 6584</t>
  </si>
  <si>
    <t>17/08/2020</t>
  </si>
  <si>
    <t>12/11/2025</t>
  </si>
  <si>
    <t>QGL12</t>
  </si>
  <si>
    <t>TIBURTINO COMERCIO E SERVICOS LTDA</t>
  </si>
  <si>
    <t>CT CVABMAIS222617878 / 7489</t>
  </si>
  <si>
    <t>06/11/2025</t>
  </si>
  <si>
    <t>Q09L14</t>
  </si>
  <si>
    <t>VITAL DIAS MOREIRA FILHO</t>
  </si>
  <si>
    <t>CT 5427 / 2934</t>
  </si>
  <si>
    <t>31/07/2023</t>
  </si>
  <si>
    <t>F01QLL25</t>
  </si>
  <si>
    <t>VITOR VIEIRA LEITE DIAS</t>
  </si>
  <si>
    <t>CT 5343 / 1980</t>
  </si>
  <si>
    <t>03/07/2023</t>
  </si>
  <si>
    <t>Q16L04</t>
  </si>
  <si>
    <t>Willian de Jesus Ferreira</t>
  </si>
  <si>
    <t>CT 4934 / 2278</t>
  </si>
  <si>
    <t>QHL37</t>
  </si>
  <si>
    <t>WILLYAN LEÃO CARDOSO</t>
  </si>
  <si>
    <t>CT 1912 / 4588</t>
  </si>
  <si>
    <t>26/02/2020</t>
  </si>
  <si>
    <t>Q31L12</t>
  </si>
  <si>
    <t>Wilson Roberto de Souza Pulli</t>
  </si>
  <si>
    <t>CT 5741 / 3009</t>
  </si>
  <si>
    <t>27/12/2023</t>
  </si>
  <si>
    <t>QIL18</t>
  </si>
  <si>
    <t>WILSON SOARES AVELAR</t>
  </si>
  <si>
    <t>CT 4194 / 6570</t>
  </si>
  <si>
    <t>01/06/2022</t>
  </si>
  <si>
    <t>Q08L11</t>
  </si>
  <si>
    <t>YASMIN DE SOUZA GOMES SOARES</t>
  </si>
  <si>
    <t>CT 6384 / 482</t>
  </si>
  <si>
    <t>QIL30</t>
  </si>
  <si>
    <t>ADRIANO DE NAZARE BARBOSA DA SILVA</t>
  </si>
  <si>
    <t>CT 3561 / 6492</t>
  </si>
  <si>
    <t>10/09/2021</t>
  </si>
  <si>
    <t>26/11/2025</t>
  </si>
  <si>
    <t>QCL12</t>
  </si>
  <si>
    <t>CAMILA CHRISTINE BORGES FURTADO</t>
  </si>
  <si>
    <t>CT 2924 / 4484</t>
  </si>
  <si>
    <t>20/11/2020</t>
  </si>
  <si>
    <t>QDL08</t>
  </si>
  <si>
    <t>PRISCILLA ROBERTA CAMARGO FERREIRA</t>
  </si>
  <si>
    <t>CT 2113 / 4662</t>
  </si>
  <si>
    <t>10/06/2020</t>
  </si>
  <si>
    <t>F01QKL02</t>
  </si>
  <si>
    <t>RAFAEL APARECIDO QUIRINO</t>
  </si>
  <si>
    <t>CT 3110 / 1946</t>
  </si>
  <si>
    <t>02/11/2025</t>
  </si>
  <si>
    <t>QFL05</t>
  </si>
  <si>
    <t>VALERIA DE ALVARENGA PANTOJA</t>
  </si>
  <si>
    <t>CT 2140 / 4534</t>
  </si>
  <si>
    <t>03/12/2025</t>
  </si>
  <si>
    <t>QAL09</t>
  </si>
  <si>
    <t>LARISSA MACHADO</t>
  </si>
  <si>
    <t>CT 4099 / 1107</t>
  </si>
  <si>
    <t>CT 2258 / 1098</t>
  </si>
  <si>
    <t>07/07/2020</t>
  </si>
  <si>
    <t>QKL03</t>
  </si>
  <si>
    <t>CT 6931 / 6453</t>
  </si>
  <si>
    <t>17/12/2024</t>
  </si>
  <si>
    <t>20/10/2025</t>
  </si>
  <si>
    <t>Carlos Junio Pereira Avila</t>
  </si>
  <si>
    <t>CT 6750 / 724</t>
  </si>
  <si>
    <t>22/10/2024</t>
  </si>
  <si>
    <t>25/08/2025</t>
  </si>
  <si>
    <t>Q20L31</t>
  </si>
  <si>
    <t>CT 6738 / 420</t>
  </si>
  <si>
    <t>19/10/2024</t>
  </si>
  <si>
    <t>Q14L21</t>
  </si>
  <si>
    <t>Cássio Coelho Macedo</t>
  </si>
  <si>
    <t>CT 7024 / 2609</t>
  </si>
  <si>
    <t>30/01/2025</t>
  </si>
  <si>
    <t>CT 7049 / 2872</t>
  </si>
  <si>
    <t>11/02/2025</t>
  </si>
  <si>
    <t>Q22L15</t>
  </si>
  <si>
    <t>ERICA DOS SANTOS SILVA</t>
  </si>
  <si>
    <t>CT 7526 / 709</t>
  </si>
  <si>
    <t>31/05/2025</t>
  </si>
  <si>
    <t>Q36L20</t>
  </si>
  <si>
    <t>FERNANDO REIS DE LIMA</t>
  </si>
  <si>
    <t>CT 6992 / 3218</t>
  </si>
  <si>
    <t>11/01/2025</t>
  </si>
  <si>
    <t>Q17L07</t>
  </si>
  <si>
    <t>FILIPE BOYNARD TAVARES LOPES</t>
  </si>
  <si>
    <t>CT 7127 / 705</t>
  </si>
  <si>
    <t>22/03/2025</t>
  </si>
  <si>
    <t>15/09/2025</t>
  </si>
  <si>
    <t>Q24L20</t>
  </si>
  <si>
    <t>GABRIELA DA SILVA REZENDE</t>
  </si>
  <si>
    <t>CT 6866 / 2474</t>
  </si>
  <si>
    <t>26/11/2024</t>
  </si>
  <si>
    <t>Q04L03</t>
  </si>
  <si>
    <t>Germana Tereza de Oliveira Rosa</t>
  </si>
  <si>
    <t>CT 6625 / 670</t>
  </si>
  <si>
    <t>17/09/2024</t>
  </si>
  <si>
    <t>25/09/2025</t>
  </si>
  <si>
    <t>Q15L13</t>
  </si>
  <si>
    <t>Herculano do Espírito Santo Alves</t>
  </si>
  <si>
    <t>CT 7120 / 559</t>
  </si>
  <si>
    <t>Q02L09</t>
  </si>
  <si>
    <t>Igor Braga Gomes</t>
  </si>
  <si>
    <t>CT 5730 / 368</t>
  </si>
  <si>
    <t>QKL17</t>
  </si>
  <si>
    <t>Jaqueline Ribeiro Souto</t>
  </si>
  <si>
    <t>CT 7641 / 5869</t>
  </si>
  <si>
    <t>Q22L11</t>
  </si>
  <si>
    <t>JHENEFFE SILVA CARVALHO</t>
  </si>
  <si>
    <t>CT 7499 / 582</t>
  </si>
  <si>
    <t>QCL24</t>
  </si>
  <si>
    <t>JOSÉ MAURICIO SILVA DA COSTA</t>
  </si>
  <si>
    <t>CT 7409 / 1112</t>
  </si>
  <si>
    <t>29/04/2025</t>
  </si>
  <si>
    <t>Q03L10</t>
  </si>
  <si>
    <t>MANOEL SILVA DO CARMO</t>
  </si>
  <si>
    <t>CT 7038 / 440</t>
  </si>
  <si>
    <t>01/02/2025</t>
  </si>
  <si>
    <t>Q28L13</t>
  </si>
  <si>
    <t>MICHELE CRISTINA LUDOVINO</t>
  </si>
  <si>
    <t>CT 7487 / 2888</t>
  </si>
  <si>
    <t>15/05/2025</t>
  </si>
  <si>
    <t>30/08/2025</t>
  </si>
  <si>
    <t>Q22L12</t>
  </si>
  <si>
    <t>Nilza Cristina Domingos Cipriano</t>
  </si>
  <si>
    <t>CT 6623 / 3158</t>
  </si>
  <si>
    <t>16/09/2024</t>
  </si>
  <si>
    <t>02/10/2025</t>
  </si>
  <si>
    <t>Q14L15</t>
  </si>
  <si>
    <t>Rebeka gomes leite Nogueira</t>
  </si>
  <si>
    <t>CT 6475 / 529</t>
  </si>
  <si>
    <t>08/08/2024</t>
  </si>
  <si>
    <t>Q24L06</t>
  </si>
  <si>
    <t>Samuel dos Santos Mendes de Castro</t>
  </si>
  <si>
    <t>CT 6835 / 668</t>
  </si>
  <si>
    <t>11/11/2024</t>
  </si>
  <si>
    <t>Q12L26</t>
  </si>
  <si>
    <t>SILAS CUSTODIO DA SILVA</t>
  </si>
  <si>
    <t>CT 6295 / 672</t>
  </si>
  <si>
    <t>24/06/2024</t>
  </si>
  <si>
    <t>Q12L28</t>
  </si>
  <si>
    <t>Wellington de Almeida Soares de Assis</t>
  </si>
  <si>
    <t>CT 6202 / 479</t>
  </si>
  <si>
    <t>31/05/2024</t>
  </si>
  <si>
    <t>Q03L01</t>
  </si>
  <si>
    <t>AUTOESCOLA ORIGINAL LTDA</t>
  </si>
  <si>
    <t>CT 7116 / 481</t>
  </si>
  <si>
    <t>Q23L07</t>
  </si>
  <si>
    <t>FABIANO APARECIDO DA SILVA</t>
  </si>
  <si>
    <t>CT 7584 / 3089</t>
  </si>
  <si>
    <t>13/06/2025</t>
  </si>
  <si>
    <t>20/09/2025</t>
  </si>
  <si>
    <t>Q04L17</t>
  </si>
  <si>
    <t>CT 7121 / 587</t>
  </si>
  <si>
    <t>20/03/2025</t>
  </si>
  <si>
    <t>Q15L06</t>
  </si>
  <si>
    <t>Alaisse Neves Santos</t>
  </si>
  <si>
    <t>CT 6476 / 474</t>
  </si>
  <si>
    <t>07/08/2024</t>
  </si>
  <si>
    <t>Q06L02</t>
  </si>
  <si>
    <t>Aldecy Ribeiro da Silva</t>
  </si>
  <si>
    <t>CT 6046 / 574</t>
  </si>
  <si>
    <t>04/04/2024</t>
  </si>
  <si>
    <t>F01QHL53</t>
  </si>
  <si>
    <t>ALEX DO NASCIMENTO SILVA</t>
  </si>
  <si>
    <t>CT 4645 / 1670</t>
  </si>
  <si>
    <t>04/04/2023</t>
  </si>
  <si>
    <t>Q06L41</t>
  </si>
  <si>
    <t>ALINE GUEDES GUARIZO OLIVEIRA</t>
  </si>
  <si>
    <t>CT 5948 / 3243</t>
  </si>
  <si>
    <t>02/02/2024</t>
  </si>
  <si>
    <t>QEL26</t>
  </si>
  <si>
    <t>ANDERSON SALLES NUNES</t>
  </si>
  <si>
    <t>CT 6537 / 762</t>
  </si>
  <si>
    <t>23/08/2024</t>
  </si>
  <si>
    <t>15/10/2025</t>
  </si>
  <si>
    <t>QBL31</t>
  </si>
  <si>
    <t>ANDRÉ HENRIQUE LINO DE OLIVEIRA</t>
  </si>
  <si>
    <t>JD EUROPA</t>
  </si>
  <si>
    <t>CT 3337 / 3742</t>
  </si>
  <si>
    <t>29/06/2021</t>
  </si>
  <si>
    <t>31/08/2025</t>
  </si>
  <si>
    <t>F01QGL26</t>
  </si>
  <si>
    <t>ANGELICA BRITO DE SOUZA</t>
  </si>
  <si>
    <t>CT 2825 / 1505</t>
  </si>
  <si>
    <t>13/10/2020</t>
  </si>
  <si>
    <t>QHL26</t>
  </si>
  <si>
    <t>CT 3483 / 6576</t>
  </si>
  <si>
    <t>27/08/2021</t>
  </si>
  <si>
    <t>27/09/2025</t>
  </si>
  <si>
    <t>QHL25</t>
  </si>
  <si>
    <t>CT 3486 / 6660</t>
  </si>
  <si>
    <t>QIL45</t>
  </si>
  <si>
    <t>CT 3485 / 6628</t>
  </si>
  <si>
    <t>QBL07</t>
  </si>
  <si>
    <t>ARLENE DE JESUS COSTA</t>
  </si>
  <si>
    <t>CT 1779 / 4632</t>
  </si>
  <si>
    <t>20/12/2019</t>
  </si>
  <si>
    <t>Q31L26</t>
  </si>
  <si>
    <t>AURINO DOS SANTOS TEIXEIRA</t>
  </si>
  <si>
    <t>CT 6069 / 2905</t>
  </si>
  <si>
    <t>02/04/2024</t>
  </si>
  <si>
    <t>F01QML23</t>
  </si>
  <si>
    <t>BENOILSON SANTOS DE MELO</t>
  </si>
  <si>
    <t>CT 2045 / 2102</t>
  </si>
  <si>
    <t>04/05/2020</t>
  </si>
  <si>
    <t>13/09/2025</t>
  </si>
  <si>
    <t>F01QML24</t>
  </si>
  <si>
    <t>CT 2046 / 2066</t>
  </si>
  <si>
    <t>Q37L01</t>
  </si>
  <si>
    <t>Brian Henrique Souza Franzoni</t>
  </si>
  <si>
    <t>CT 6130 / 3185</t>
  </si>
  <si>
    <t>03/05/2024</t>
  </si>
  <si>
    <t>QHL18</t>
  </si>
  <si>
    <t>CARLOS AUGUSTO LISBOA DA SILVA</t>
  </si>
  <si>
    <t>CT 2882 / 4642</t>
  </si>
  <si>
    <t>10/11/2020</t>
  </si>
  <si>
    <t>CT 2883 / 4643</t>
  </si>
  <si>
    <t>QCL25</t>
  </si>
  <si>
    <t>CARLOS IVAN PINHEIROS DOS SANTOS</t>
  </si>
  <si>
    <t>CT 2843 / 4625</t>
  </si>
  <si>
    <t>19/10/2020</t>
  </si>
  <si>
    <t>Q07L19</t>
  </si>
  <si>
    <t>CESAR PEREIRA RANGEL</t>
  </si>
  <si>
    <t>CT 3941 / 698</t>
  </si>
  <si>
    <t>QCL17</t>
  </si>
  <si>
    <t>DANIEL MARTINS DA SILVA</t>
  </si>
  <si>
    <t>CT 2784 / 6599</t>
  </si>
  <si>
    <t>28/09/2020</t>
  </si>
  <si>
    <t>Q05L13</t>
  </si>
  <si>
    <t>DEIVID DE OLIVEIRA VASCONCELOS</t>
  </si>
  <si>
    <t>CT 4483 / 521</t>
  </si>
  <si>
    <t>01/02/2023</t>
  </si>
  <si>
    <t>F01QHL65</t>
  </si>
  <si>
    <t>DIEGO APARECIDO DE SOUSA</t>
  </si>
  <si>
    <t>CT 366 / 1774</t>
  </si>
  <si>
    <t>28/07/2017</t>
  </si>
  <si>
    <t>QFL39</t>
  </si>
  <si>
    <t>DJALMA QUEIROZ ANDRADE</t>
  </si>
  <si>
    <t>CT 3344 / 934</t>
  </si>
  <si>
    <t>01/07/2021</t>
  </si>
  <si>
    <t>Q01L21</t>
  </si>
  <si>
    <t>DROGARIA PIACEZZI LTDA</t>
  </si>
  <si>
    <t>CT 5040 / 2288</t>
  </si>
  <si>
    <t>06/05/2023</t>
  </si>
  <si>
    <t>QML17</t>
  </si>
  <si>
    <t>EDILSON GALVÃO</t>
  </si>
  <si>
    <t>CT 6467 / 1305</t>
  </si>
  <si>
    <t>QDL33</t>
  </si>
  <si>
    <t>EDSON ALVES PEREIRA</t>
  </si>
  <si>
    <t>CT 3662 / 924</t>
  </si>
  <si>
    <t>26/10/2021</t>
  </si>
  <si>
    <t>Q25L33 S</t>
  </si>
  <si>
    <t>EDSON FELIPE MADEIRA DOS SANTOS</t>
  </si>
  <si>
    <t>CT CV192237089 / 6670</t>
  </si>
  <si>
    <t>24/09/2025</t>
  </si>
  <si>
    <t>08/10/2025</t>
  </si>
  <si>
    <t>Q24L02</t>
  </si>
  <si>
    <t>EDUARDO DOS SANTOS MARIA</t>
  </si>
  <si>
    <t>CT 6766 / 555</t>
  </si>
  <si>
    <t>25/10/2024</t>
  </si>
  <si>
    <t>Q06L31</t>
  </si>
  <si>
    <t>EDUARDO NASCIMENTO DE SOUSA</t>
  </si>
  <si>
    <t>CT 5114 / 3000</t>
  </si>
  <si>
    <t>29/05/2023</t>
  </si>
  <si>
    <t>Q06L32</t>
  </si>
  <si>
    <t>ELAINE BEGHELLI GAVIÃO</t>
  </si>
  <si>
    <t>CT 5671 / 2746</t>
  </si>
  <si>
    <t>17/11/2023</t>
  </si>
  <si>
    <t>QKL16</t>
  </si>
  <si>
    <t>ELIANE DOS SANTOS</t>
  </si>
  <si>
    <t>CT 3245 / 6627</t>
  </si>
  <si>
    <t>16/06/2021</t>
  </si>
  <si>
    <t>Q20L04</t>
  </si>
  <si>
    <t>ELIAS FORTUNATO SIMOES</t>
  </si>
  <si>
    <t>CT 7376 / 544</t>
  </si>
  <si>
    <t>25/04/2025</t>
  </si>
  <si>
    <t>F01QLL16</t>
  </si>
  <si>
    <t>ELISANGELA FERREIRA CASTRO</t>
  </si>
  <si>
    <t>CT 352 / 1705</t>
  </si>
  <si>
    <t>01/08/2017</t>
  </si>
  <si>
    <t>QIL58</t>
  </si>
  <si>
    <t>ELIZIANE APARECIDA DA SILVA</t>
  </si>
  <si>
    <t>CT 4025 / 6622</t>
  </si>
  <si>
    <t>Q07L05</t>
  </si>
  <si>
    <t>ELLI SANTOS DOS REIS</t>
  </si>
  <si>
    <t>CT 5674 / 503</t>
  </si>
  <si>
    <t>14/11/2023</t>
  </si>
  <si>
    <t>Q24L14</t>
  </si>
  <si>
    <t>Elson Pereira Silva</t>
  </si>
  <si>
    <t>CT 6005 / 3222</t>
  </si>
  <si>
    <t>04/03/2024</t>
  </si>
  <si>
    <t>F02QAL19</t>
  </si>
  <si>
    <t xml:space="preserve">ENZO DIESEL - SISTEMA DE INJECAO DIESEL </t>
  </si>
  <si>
    <t>CT 4088 / 1424</t>
  </si>
  <si>
    <t>01/04/2022</t>
  </si>
  <si>
    <t>QBL20</t>
  </si>
  <si>
    <t>FELIPE AUGUSTO BRANTES DA SILVA</t>
  </si>
  <si>
    <t>CT 4403 / 1148</t>
  </si>
  <si>
    <t>18/10/2022</t>
  </si>
  <si>
    <t>QT1L07</t>
  </si>
  <si>
    <t>FELIPE GOMES HESPANHA BRUNELLI</t>
  </si>
  <si>
    <t>CATANDUVA</t>
  </si>
  <si>
    <t>CT CV207646923 / 6381</t>
  </si>
  <si>
    <t>11/09/2025</t>
  </si>
  <si>
    <t>03/10/2025</t>
  </si>
  <si>
    <t>Q34L08</t>
  </si>
  <si>
    <t>FERNANDA CRISTINA SUAVE GONCALVES</t>
  </si>
  <si>
    <t>CT 7078 / 2532</t>
  </si>
  <si>
    <t>26/02/2025</t>
  </si>
  <si>
    <t>QIL06</t>
  </si>
  <si>
    <t>Fernanda Marchi Marcondes</t>
  </si>
  <si>
    <t>CT 6154 / 1389</t>
  </si>
  <si>
    <t>15/05/2024</t>
  </si>
  <si>
    <t>F01QCL01</t>
  </si>
  <si>
    <t>FLAVIO LEANDRO DE BRITO</t>
  </si>
  <si>
    <t>CT 511 / 1643</t>
  </si>
  <si>
    <t>QPL23</t>
  </si>
  <si>
    <t>FRANCISCO DAS CHAGAS DE CASTRO PAULO</t>
  </si>
  <si>
    <t>CT 3057 / 6397</t>
  </si>
  <si>
    <t>01/02/2021</t>
  </si>
  <si>
    <t>Q01L11</t>
  </si>
  <si>
    <t>GABRIEL FERREIRA DOS SANTOS</t>
  </si>
  <si>
    <t>CT 3933 / 655</t>
  </si>
  <si>
    <t>QML18</t>
  </si>
  <si>
    <t>Gabriel Soares De Oliveira</t>
  </si>
  <si>
    <t>CT 3006 / 6408</t>
  </si>
  <si>
    <t>01/01/2021</t>
  </si>
  <si>
    <t>QEL12</t>
  </si>
  <si>
    <t>GOBBI PERES ADMINISTRAÇÃO E PARTICIPAÇÕE</t>
  </si>
  <si>
    <t>CT 6089 / 1111</t>
  </si>
  <si>
    <t>17/04/2024</t>
  </si>
  <si>
    <t>QPL11</t>
  </si>
  <si>
    <t>GRISIELE DAUANE DA SILVA HONORATO SANTOS</t>
  </si>
  <si>
    <t>CT 6452 / 6459</t>
  </si>
  <si>
    <t>27/07/2024</t>
  </si>
  <si>
    <t>QML07</t>
  </si>
  <si>
    <t>GUSTAVO SAMOGIM DOS SANTOS</t>
  </si>
  <si>
    <t>CT 5689 / 1281</t>
  </si>
  <si>
    <t>28/11/2023</t>
  </si>
  <si>
    <t>Q15L12</t>
  </si>
  <si>
    <t>CT 7118 / 583</t>
  </si>
  <si>
    <t>F01QRL11</t>
  </si>
  <si>
    <t>HEROLTH LUIZ SOUZA REGO</t>
  </si>
  <si>
    <t>CT 2679 / 1898</t>
  </si>
  <si>
    <t>19/08/2020</t>
  </si>
  <si>
    <t>QNL19</t>
  </si>
  <si>
    <t>IDELFONSO JANDILSON RODRIGUES DA SILVA</t>
  </si>
  <si>
    <t>CT 4111 / 6406</t>
  </si>
  <si>
    <t>Q35L10</t>
  </si>
  <si>
    <t>Irineu Aparecido Molina</t>
  </si>
  <si>
    <t>CT 6472 / 2493</t>
  </si>
  <si>
    <t>05/08/2024</t>
  </si>
  <si>
    <t>QPL14</t>
  </si>
  <si>
    <t>Jacqueline Alves De Lima</t>
  </si>
  <si>
    <t>CT 3558 / 6424</t>
  </si>
  <si>
    <t>F01QIL14</t>
  </si>
  <si>
    <t>JAQUELINE DE OLIVEIRA GONÇALVES</t>
  </si>
  <si>
    <t>CT 2156 / 1915</t>
  </si>
  <si>
    <t>19/06/2020</t>
  </si>
  <si>
    <t>QCL19</t>
  </si>
  <si>
    <t>JENNIFER THEURY DOS SANTOS</t>
  </si>
  <si>
    <t>CT 2673 / 6478</t>
  </si>
  <si>
    <t>31/08/2020</t>
  </si>
  <si>
    <t>Q03L11</t>
  </si>
  <si>
    <t>JM CIRURGIA PLASTICA EIRELI</t>
  </si>
  <si>
    <t>CT 3838 / 302</t>
  </si>
  <si>
    <t>Q30L30</t>
  </si>
  <si>
    <t>JOANA DARC MONTEIRO HERCULINO</t>
  </si>
  <si>
    <t>CT 6665 / 2596</t>
  </si>
  <si>
    <t>25/09/2024</t>
  </si>
  <si>
    <t>QEL08</t>
  </si>
  <si>
    <t>JONAS ALVES TEIXEIRA</t>
  </si>
  <si>
    <t>CT 4019 / 918</t>
  </si>
  <si>
    <t>11/02/2022</t>
  </si>
  <si>
    <t>QCL09</t>
  </si>
  <si>
    <t>JOSÉ ARLINDO DA SILVA FILHO</t>
  </si>
  <si>
    <t>CT 2689 / 6546</t>
  </si>
  <si>
    <t>02/09/2020</t>
  </si>
  <si>
    <t>JOSE OLIMPIO DA SILVA</t>
  </si>
  <si>
    <t>CT 7603 / 5864</t>
  </si>
  <si>
    <t>01/07/2025</t>
  </si>
  <si>
    <t>QIL03</t>
  </si>
  <si>
    <t>JOSE ROBERTO ANBAR</t>
  </si>
  <si>
    <t>PARK MERAKI</t>
  </si>
  <si>
    <t>CT 1406 / 3863</t>
  </si>
  <si>
    <t>30/05/2019</t>
  </si>
  <si>
    <t>QIL29</t>
  </si>
  <si>
    <t>JOSIEL REGIS FERREIRA</t>
  </si>
  <si>
    <t>CT 2974 / 6495</t>
  </si>
  <si>
    <t>22/12/2020</t>
  </si>
  <si>
    <t>F01QML45</t>
  </si>
  <si>
    <t>JOSIMAR DE JESUS OLIVEIRA</t>
  </si>
  <si>
    <t>CT 2984 / 1430</t>
  </si>
  <si>
    <t>20/12/2020</t>
  </si>
  <si>
    <t>Q28L15 A</t>
  </si>
  <si>
    <t>JULIANA APARECIDA JESUS DE OLIVEIRA</t>
  </si>
  <si>
    <t>CT CV193376687 / 6176</t>
  </si>
  <si>
    <t>17/08/2025</t>
  </si>
  <si>
    <t>17/09/2025</t>
  </si>
  <si>
    <t>QFL40</t>
  </si>
  <si>
    <t>JULIANA SANTOS BONFIM DIAS</t>
  </si>
  <si>
    <t>CT 6681 / 5978</t>
  </si>
  <si>
    <t>06/09/2024</t>
  </si>
  <si>
    <t>QCL37</t>
  </si>
  <si>
    <t>JULIO CESAR GONÇALVES</t>
  </si>
  <si>
    <t>CT 5989 / 981</t>
  </si>
  <si>
    <t>23/02/2024</t>
  </si>
  <si>
    <t>QCL03</t>
  </si>
  <si>
    <t>KARINA DULCE ALVES LEITE</t>
  </si>
  <si>
    <t>CT 3035 / 4479</t>
  </si>
  <si>
    <t>03/02/2021</t>
  </si>
  <si>
    <t>F02QCL05</t>
  </si>
  <si>
    <t>KARINE DOS SANTOS ROCHA DE OLIVEIRA</t>
  </si>
  <si>
    <t>CT 2629 / 2098</t>
  </si>
  <si>
    <t>04/08/2020</t>
  </si>
  <si>
    <t>Q10L06</t>
  </si>
  <si>
    <t>LEONARDO COUTO DE JESUS</t>
  </si>
  <si>
    <t>CT 3980 / 476</t>
  </si>
  <si>
    <t>QDL28</t>
  </si>
  <si>
    <t>LEONICE SABINO</t>
  </si>
  <si>
    <t>CT 3434 / 3753</t>
  </si>
  <si>
    <t>09/08/2021</t>
  </si>
  <si>
    <t>Q18L33</t>
  </si>
  <si>
    <t>LUCAS APARECIDO SANTOS TORRALBO</t>
  </si>
  <si>
    <t>CT 5543 / 2455</t>
  </si>
  <si>
    <t>22/09/2023</t>
  </si>
  <si>
    <t>Q04L34</t>
  </si>
  <si>
    <t>LUCAS LESPINASSE SOUSA GARCIA</t>
  </si>
  <si>
    <t>CT 6376 / 3246</t>
  </si>
  <si>
    <t>15/07/2024</t>
  </si>
  <si>
    <t>QML02</t>
  </si>
  <si>
    <t>LUCIANA APARECIDA DE ALMEIDA</t>
  </si>
  <si>
    <t>CT 5033 / 1250</t>
  </si>
  <si>
    <t>01/05/2023</t>
  </si>
  <si>
    <t>QEL33</t>
  </si>
  <si>
    <t>LUCIANO APARECIDO MENDES SILVESTRE</t>
  </si>
  <si>
    <t>CT 7641 / 5984</t>
  </si>
  <si>
    <t>17/07/2025</t>
  </si>
  <si>
    <t>F01QHL20</t>
  </si>
  <si>
    <t>LUCIANO CAMPOS BATISTA DA CRUZ</t>
  </si>
  <si>
    <t>CT CV154526627 / 6120</t>
  </si>
  <si>
    <t>16/08/2025</t>
  </si>
  <si>
    <t>QAL21</t>
  </si>
  <si>
    <t>LUCIANO DE OLIVEIRA</t>
  </si>
  <si>
    <t>CT 4255 / 1065</t>
  </si>
  <si>
    <t>25/07/2022</t>
  </si>
  <si>
    <t>Q03L22</t>
  </si>
  <si>
    <t>LUCIANO DOS SANTOS DE ANDRADE</t>
  </si>
  <si>
    <t>CT 6003 / 593</t>
  </si>
  <si>
    <t>08/03/2024</t>
  </si>
  <si>
    <t>QPL32</t>
  </si>
  <si>
    <t>LUCIANO LEITE DOS ANJOS</t>
  </si>
  <si>
    <t>CT 3605 / 6431</t>
  </si>
  <si>
    <t>Q01L05</t>
  </si>
  <si>
    <t>LUIS ROBERTO DIAS FELICE</t>
  </si>
  <si>
    <t>CT 5071 / 3091</t>
  </si>
  <si>
    <t>07/05/2023</t>
  </si>
  <si>
    <t>13/10/2025</t>
  </si>
  <si>
    <t>Q15L27</t>
  </si>
  <si>
    <t>LUIZ EDUARDO PACHECO VIANA</t>
  </si>
  <si>
    <t>CT 6789 / 757</t>
  </si>
  <si>
    <t>29/10/2024</t>
  </si>
  <si>
    <t>Q15L24</t>
  </si>
  <si>
    <t>CT 6997 / 404</t>
  </si>
  <si>
    <t>13/01/2025</t>
  </si>
  <si>
    <t>Q15L42</t>
  </si>
  <si>
    <t>LUIZ FELIPE DO NASCIMENTO DA SILVA</t>
  </si>
  <si>
    <t>CT 6637 / 633</t>
  </si>
  <si>
    <t>19/09/2024</t>
  </si>
  <si>
    <t>28/08/2025</t>
  </si>
  <si>
    <t>F02QBL19</t>
  </si>
  <si>
    <t>LUIZ GUSTAVO ALMEIDA DE OLIVEIRA</t>
  </si>
  <si>
    <t>CT 3059 / 1590</t>
  </si>
  <si>
    <t>QKL08</t>
  </si>
  <si>
    <t>LUIZ JOSE DE SENRA</t>
  </si>
  <si>
    <t>CT 3612 / 6428</t>
  </si>
  <si>
    <t>28/09/2021</t>
  </si>
  <si>
    <t>QPL10</t>
  </si>
  <si>
    <t>Manoel Aparecido Da Rosa</t>
  </si>
  <si>
    <t>CT 4012 / 6398</t>
  </si>
  <si>
    <t>F01QIL30</t>
  </si>
  <si>
    <t>MANOEL DA SILVEIRA</t>
  </si>
  <si>
    <t>CT 2559 / 1754</t>
  </si>
  <si>
    <t>06/08/2020</t>
  </si>
  <si>
    <t>QKL23</t>
  </si>
  <si>
    <t>Marcelo Zanetoni Da Silva</t>
  </si>
  <si>
    <t>SAINT PAUL</t>
  </si>
  <si>
    <t>CT 2392 / 3418</t>
  </si>
  <si>
    <t>01/07/2020</t>
  </si>
  <si>
    <t>QML01</t>
  </si>
  <si>
    <t>MARCIA REGINA DA SILVA LEITE</t>
  </si>
  <si>
    <t>CT 2978 / 6409</t>
  </si>
  <si>
    <t>17/12/2020</t>
  </si>
  <si>
    <t>QLL07</t>
  </si>
  <si>
    <t>MARCOS DE ALMEIDA</t>
  </si>
  <si>
    <t>CT 2888 / 6423</t>
  </si>
  <si>
    <t>Q16L25</t>
  </si>
  <si>
    <t>MARCOS PEREIRA SANTIAGO</t>
  </si>
  <si>
    <t>CT 6226 / 2387</t>
  </si>
  <si>
    <t>11/06/2024</t>
  </si>
  <si>
    <t>Q36L02</t>
  </si>
  <si>
    <t>MARCUS TULIO LOSAVIO SILVA</t>
  </si>
  <si>
    <t>CT 7050 / 2861</t>
  </si>
  <si>
    <t>QCL28</t>
  </si>
  <si>
    <t>MARCUS VINICIUS BARRETO GOMES</t>
  </si>
  <si>
    <t>CT 2939 / 4561</t>
  </si>
  <si>
    <t>27/11/2020</t>
  </si>
  <si>
    <t>QLL10</t>
  </si>
  <si>
    <t>Maria Aparecida Gomes Sousa</t>
  </si>
  <si>
    <t>CT 3389 / 6393</t>
  </si>
  <si>
    <t>23/07/2021</t>
  </si>
  <si>
    <t>QHL62</t>
  </si>
  <si>
    <t>MARIA DA CONCEIÇÃO BARROSO DAMASCENA</t>
  </si>
  <si>
    <t>CT 2511 / 6589</t>
  </si>
  <si>
    <t>30/07/2020</t>
  </si>
  <si>
    <t>Q40L14</t>
  </si>
  <si>
    <t>MARIA HELENA ARCANJO PEREIRA</t>
  </si>
  <si>
    <t>CT 4721 / 2921</t>
  </si>
  <si>
    <t>24/04/2023</t>
  </si>
  <si>
    <t>QHL04</t>
  </si>
  <si>
    <t>CT 6651 / 5926</t>
  </si>
  <si>
    <t>10/09/2024</t>
  </si>
  <si>
    <t>Q03L16</t>
  </si>
  <si>
    <t>MARISA DOMINGOS DE ANDRADE</t>
  </si>
  <si>
    <t>CT 5481 / 3271</t>
  </si>
  <si>
    <t>29/08/2023</t>
  </si>
  <si>
    <t>Q03L15</t>
  </si>
  <si>
    <t>CT 5478 / 2285</t>
  </si>
  <si>
    <t>QML19</t>
  </si>
  <si>
    <t>MATHEUS HENRICH PARONETI PINTO</t>
  </si>
  <si>
    <t>CT 3083 / 6422</t>
  </si>
  <si>
    <t>QEL27</t>
  </si>
  <si>
    <t>MAX SOUZA DOS SANTOS</t>
  </si>
  <si>
    <t>CT 1978 / 4614</t>
  </si>
  <si>
    <t>13/04/2020</t>
  </si>
  <si>
    <t>QHL02</t>
  </si>
  <si>
    <t>MESSIAS DE MOURA PIMENTEL</t>
  </si>
  <si>
    <t>CT 3069 / 4636</t>
  </si>
  <si>
    <t>13/02/2021</t>
  </si>
  <si>
    <t>F02QAL14</t>
  </si>
  <si>
    <t>NILSON JOSE VASQUEZ SAMPAIO</t>
  </si>
  <si>
    <t>CT 4251 / 1722</t>
  </si>
  <si>
    <t>Q14L12</t>
  </si>
  <si>
    <t>PÂMELA DIAS MACHADO</t>
  </si>
  <si>
    <t>CT 7017 / 2840</t>
  </si>
  <si>
    <t>27/01/2025</t>
  </si>
  <si>
    <t>05/10/2025</t>
  </si>
  <si>
    <t>Q09L04</t>
  </si>
  <si>
    <t>PAMELA SUÉLLEN RIBEIRO ROZA</t>
  </si>
  <si>
    <t>CT 6956 / 436</t>
  </si>
  <si>
    <t>27/12/2024</t>
  </si>
  <si>
    <t>Q35L03</t>
  </si>
  <si>
    <t>Paula Cristina Borges Artiaga</t>
  </si>
  <si>
    <t>CT 6286 / 2842</t>
  </si>
  <si>
    <t>17/06/2024</t>
  </si>
  <si>
    <t>Q07L08</t>
  </si>
  <si>
    <t>PAULO ROBERTO BEZERRA DE ALBUQUERQUE</t>
  </si>
  <si>
    <t>CT 3990 / 429</t>
  </si>
  <si>
    <t>QHL48</t>
  </si>
  <si>
    <t>RAFAEL GOMES DE LUCENA</t>
  </si>
  <si>
    <t>CT 3495 / 6625</t>
  </si>
  <si>
    <t>QCL18</t>
  </si>
  <si>
    <t>RAILSON DE OLIVEIRA FERREIRA</t>
  </si>
  <si>
    <t>CT 2623 / 4573</t>
  </si>
  <si>
    <t>14/08/2020</t>
  </si>
  <si>
    <t>Raimundo Ferreira da Cunha</t>
  </si>
  <si>
    <t>CT 7016 / 866</t>
  </si>
  <si>
    <t>07/01/2025</t>
  </si>
  <si>
    <t>QAL07</t>
  </si>
  <si>
    <t>Reginaldo Pereira Da Silva</t>
  </si>
  <si>
    <t>CT 1780 / 4474</t>
  </si>
  <si>
    <t>28/09/2025</t>
  </si>
  <si>
    <t>F01QCL30</t>
  </si>
  <si>
    <t>RICHARD ANTONIO BENTO</t>
  </si>
  <si>
    <t>CT 3071 / 2136</t>
  </si>
  <si>
    <t>Q26L15</t>
  </si>
  <si>
    <t>RICHARD KENED BARBOSA</t>
  </si>
  <si>
    <t>CT 7506 / 2827</t>
  </si>
  <si>
    <t>24/05/2025</t>
  </si>
  <si>
    <t>Robson de Carvalho da Silva</t>
  </si>
  <si>
    <t>CT 6548 / 765</t>
  </si>
  <si>
    <t>27/08/2024</t>
  </si>
  <si>
    <t>QAL12</t>
  </si>
  <si>
    <t>RODRIGO DE ARAUJO BARROS</t>
  </si>
  <si>
    <t>CT 3282 / 1095</t>
  </si>
  <si>
    <t>22/06/2021</t>
  </si>
  <si>
    <t>F01QHL05</t>
  </si>
  <si>
    <t>RODRIGO PEREIRA DA SILVA</t>
  </si>
  <si>
    <t>CT 5135 / 1491</t>
  </si>
  <si>
    <t>16/05/2023</t>
  </si>
  <si>
    <t>ROGÉRIO BATISTA</t>
  </si>
  <si>
    <t>CT 4778 / 2377</t>
  </si>
  <si>
    <t>20/04/2023</t>
  </si>
  <si>
    <t>Q02L14</t>
  </si>
  <si>
    <t>CT 4776 / 2443</t>
  </si>
  <si>
    <t>Q02L13</t>
  </si>
  <si>
    <t>CT 4777 / 2423</t>
  </si>
  <si>
    <t>CT 4775 / 2215</t>
  </si>
  <si>
    <t>QML12</t>
  </si>
  <si>
    <t>ROGERIO MARTINS DE OLIVEIRA</t>
  </si>
  <si>
    <t>CT 3474 / 6427</t>
  </si>
  <si>
    <t>Q25L37A</t>
  </si>
  <si>
    <t>ROWILSON RICARDO DE CARVALHO</t>
  </si>
  <si>
    <t>CT 7279 / 4262</t>
  </si>
  <si>
    <t>18/04/2025</t>
  </si>
  <si>
    <t>QKL38</t>
  </si>
  <si>
    <t>SALOMÃO SERGIO DE SIQUEIRA</t>
  </si>
  <si>
    <t>CT 3492 / 6412</t>
  </si>
  <si>
    <t>25/08/2021</t>
  </si>
  <si>
    <t>QKL39</t>
  </si>
  <si>
    <t>CT 3493 / 6395</t>
  </si>
  <si>
    <t>QML03</t>
  </si>
  <si>
    <t>Sidney Ferreira Damascena</t>
  </si>
  <si>
    <t>CT 5284 / 6455</t>
  </si>
  <si>
    <t>27/06/2023</t>
  </si>
  <si>
    <t>QBL06</t>
  </si>
  <si>
    <t>SIDNEY SAVIO DE CARVALHO</t>
  </si>
  <si>
    <t>CT 2167 / 6643</t>
  </si>
  <si>
    <t>20/06/2020</t>
  </si>
  <si>
    <t>QIL42</t>
  </si>
  <si>
    <t>SIMONE DO CARMO SILVA</t>
  </si>
  <si>
    <t>CT 3498 / 6552</t>
  </si>
  <si>
    <t>31/08/2021</t>
  </si>
  <si>
    <t>Q29L10</t>
  </si>
  <si>
    <t>SITIO DOS TRES REIS</t>
  </si>
  <si>
    <t>CT 7124 / 2566</t>
  </si>
  <si>
    <t>24/03/2025</t>
  </si>
  <si>
    <t>Q29L11</t>
  </si>
  <si>
    <t>CT 7125 / 3017</t>
  </si>
  <si>
    <t>Q32L22</t>
  </si>
  <si>
    <t>CT 7092 / 3328</t>
  </si>
  <si>
    <t>08/03/2025</t>
  </si>
  <si>
    <t>Q32L23</t>
  </si>
  <si>
    <t>CT 7093 / 2789</t>
  </si>
  <si>
    <t>F01QML02</t>
  </si>
  <si>
    <t>TACIANA PEREIRA PAULO</t>
  </si>
  <si>
    <t>CT 1968 / 1906</t>
  </si>
  <si>
    <t>15/04/2020</t>
  </si>
  <si>
    <t>QJL20</t>
  </si>
  <si>
    <t>Taynara do Nascimento Oliveira Maia</t>
  </si>
  <si>
    <t>CT 6664 / 1313</t>
  </si>
  <si>
    <t>23/09/2024</t>
  </si>
  <si>
    <t>QGL25</t>
  </si>
  <si>
    <t>THIAGO APARECIDO GONÇALVES</t>
  </si>
  <si>
    <t>CT 3384 / 6577</t>
  </si>
  <si>
    <t>22/07/2021</t>
  </si>
  <si>
    <t>QCL36</t>
  </si>
  <si>
    <t>THIAGO DOS SANTOS ROCHA</t>
  </si>
  <si>
    <t>CT 4273 / 1073</t>
  </si>
  <si>
    <t>Q25L17 A</t>
  </si>
  <si>
    <t>TIAGO DOMINGUES LEITE</t>
  </si>
  <si>
    <t>CT CV192076665 / 6184</t>
  </si>
  <si>
    <t>15/08/2025</t>
  </si>
  <si>
    <t>VALMIR ALEXANDRE DA SILVA</t>
  </si>
  <si>
    <t>CT 7654 / 5882</t>
  </si>
  <si>
    <t>30/07/2025</t>
  </si>
  <si>
    <t>Q08L44</t>
  </si>
  <si>
    <t>VANDIR MARTINS DA SILVA</t>
  </si>
  <si>
    <t>CT 5510 / 3298</t>
  </si>
  <si>
    <t>09/09/2023</t>
  </si>
  <si>
    <t>QBL17</t>
  </si>
  <si>
    <t>VINICIUS MARQUES DE MORAES</t>
  </si>
  <si>
    <t>CT 3064 / 4558</t>
  </si>
  <si>
    <t>QNL10</t>
  </si>
  <si>
    <t>VINICIUS SANTOS SHIMIDT</t>
  </si>
  <si>
    <t>CT 2007 / 6403</t>
  </si>
  <si>
    <t>F01QKL12</t>
  </si>
  <si>
    <t>VITOR DOMENE MARTINS</t>
  </si>
  <si>
    <t>CT 4262 / 1539</t>
  </si>
  <si>
    <t>26/07/2022</t>
  </si>
  <si>
    <t>Q03L25 A</t>
  </si>
  <si>
    <t>VJJ HOLDING LTDA</t>
  </si>
  <si>
    <t>CT VJJ HOLDING / 6249</t>
  </si>
  <si>
    <t>Q15L35</t>
  </si>
  <si>
    <t>WAGNER OLIVEIRA NASCIMENTO</t>
  </si>
  <si>
    <t>CT 6671 / 483</t>
  </si>
  <si>
    <t>27/09/2024</t>
  </si>
  <si>
    <t>QJL31</t>
  </si>
  <si>
    <t>WANDER SOARES DE OLIVEIRA</t>
  </si>
  <si>
    <t>CT 3092 / 6490</t>
  </si>
  <si>
    <t>F01QKL32</t>
  </si>
  <si>
    <t>WASHINGTON SOUZA SILVA</t>
  </si>
  <si>
    <t>CT 2721 / 1663</t>
  </si>
  <si>
    <t>09/09/2020</t>
  </si>
  <si>
    <t>Q05L40</t>
  </si>
  <si>
    <t>Weslley Fabricio dos Santos Justino</t>
  </si>
  <si>
    <t>CT 6772 / 2617</t>
  </si>
  <si>
    <t>24/10/2024</t>
  </si>
  <si>
    <t>F01QQL34</t>
  </si>
  <si>
    <t>TIAGO BARBOSA NOGUEIRA</t>
  </si>
  <si>
    <t>CT 1813 / 1506</t>
  </si>
  <si>
    <t>25/01/2020</t>
  </si>
  <si>
    <t>F01QBL41</t>
  </si>
  <si>
    <t>TRANSPORTADORA MAR VERMELHO</t>
  </si>
  <si>
    <t>CT 3417 / 1496</t>
  </si>
  <si>
    <t>17/06/2021</t>
  </si>
  <si>
    <t>F01QBL42</t>
  </si>
  <si>
    <t>CT 3265 / 1828</t>
  </si>
  <si>
    <t>21/06/2021</t>
  </si>
  <si>
    <t>Q02L04</t>
  </si>
  <si>
    <t>FERNANDA ABRAO FERZIK</t>
  </si>
  <si>
    <t>CT 3836 / 325</t>
  </si>
  <si>
    <t>Q02L05</t>
  </si>
  <si>
    <t>CT 3837 / 223</t>
  </si>
  <si>
    <t>Q37L15</t>
  </si>
  <si>
    <t>JULIA GABRIELA DE SOUZA ANTÔNIO</t>
  </si>
  <si>
    <t>CT CV185536783 / 6205</t>
  </si>
  <si>
    <t>08/09/2025</t>
  </si>
  <si>
    <t>QDL02</t>
  </si>
  <si>
    <t>ALAN CRYSTHIAN LUQUESI FRANCELINO DA SILVA</t>
  </si>
  <si>
    <t>CT 6551 / 1205</t>
  </si>
  <si>
    <t>20/07/2025</t>
  </si>
  <si>
    <t>André Luis da Silva Caetano Alvarenga</t>
  </si>
  <si>
    <t>CT 6853 / 679</t>
  </si>
  <si>
    <t>19/11/2024</t>
  </si>
  <si>
    <t>25/05/2025</t>
  </si>
  <si>
    <t>ANSELMO AMANCIO DE CARVALHO</t>
  </si>
  <si>
    <t>CT 6482 / 527</t>
  </si>
  <si>
    <t>10/08/2024</t>
  </si>
  <si>
    <t>26/07/2025</t>
  </si>
  <si>
    <t>Q15L28</t>
  </si>
  <si>
    <t>ASHILEY LIMA DA SILVA</t>
  </si>
  <si>
    <t>CT 6846 / 674</t>
  </si>
  <si>
    <t>10/08/2025</t>
  </si>
  <si>
    <t>QDL23</t>
  </si>
  <si>
    <t>BRENDA DE NAZARE FREITAS MOUTINHO</t>
  </si>
  <si>
    <t>CT 2996 / 4526</t>
  </si>
  <si>
    <t>10/06/2025</t>
  </si>
  <si>
    <t>Q13L08</t>
  </si>
  <si>
    <t>Camila de Oliveira Espinosa Ribeiro</t>
  </si>
  <si>
    <t>CT 6759 / 569</t>
  </si>
  <si>
    <t>Q05L16</t>
  </si>
  <si>
    <t>CARLOS ALBERTO PENHA MACHADO</t>
  </si>
  <si>
    <t>CT 7019 / 434</t>
  </si>
  <si>
    <t>28/01/2025</t>
  </si>
  <si>
    <t>25/07/2025</t>
  </si>
  <si>
    <t>Q24L13</t>
  </si>
  <si>
    <t>Carlos Alexandre Carvalho Rodrigues</t>
  </si>
  <si>
    <t>CT 6870 / 426</t>
  </si>
  <si>
    <t>28/11/2024</t>
  </si>
  <si>
    <t>Q20L01</t>
  </si>
  <si>
    <t>CT 6744 / 595</t>
  </si>
  <si>
    <t>Q15L16</t>
  </si>
  <si>
    <t>CAROLINE DA SILVA LOPES</t>
  </si>
  <si>
    <t>CT 6565 / 488</t>
  </si>
  <si>
    <t>Cintia Cristina Vidal</t>
  </si>
  <si>
    <t>CT 7167 / 998</t>
  </si>
  <si>
    <t>04/04/2025</t>
  </si>
  <si>
    <t>10/07/2025</t>
  </si>
  <si>
    <t>Q07L27</t>
  </si>
  <si>
    <t>CRISTIANE LOPES RIBEIRO DOS SANTOS</t>
  </si>
  <si>
    <t>CT 6125 / 432</t>
  </si>
  <si>
    <t>06/05/2024</t>
  </si>
  <si>
    <t>15/06/2025</t>
  </si>
  <si>
    <t>Q12L02</t>
  </si>
  <si>
    <t>CRISTILANE MARTINS LAVOR</t>
  </si>
  <si>
    <t>CT 4485 / 557</t>
  </si>
  <si>
    <t>Q04L20</t>
  </si>
  <si>
    <t>DENNIS RIBEIRO DE SOUZA</t>
  </si>
  <si>
    <t>CT 6105 / 522</t>
  </si>
  <si>
    <t>29/04/2024</t>
  </si>
  <si>
    <t>Q04L04</t>
  </si>
  <si>
    <t>CT 6106 / 393</t>
  </si>
  <si>
    <t>Q09L15</t>
  </si>
  <si>
    <t>Diomario Xavier de Jesus</t>
  </si>
  <si>
    <t>CT 6657 / 447</t>
  </si>
  <si>
    <t>26/09/2024</t>
  </si>
  <si>
    <t>QAL27</t>
  </si>
  <si>
    <t>EDINHO ROSA RODRIGUES</t>
  </si>
  <si>
    <t>CT 7516 / 1097</t>
  </si>
  <si>
    <t>20/05/2025</t>
  </si>
  <si>
    <t>QJL08</t>
  </si>
  <si>
    <t>FABIANA REGINA DOS SANTOS</t>
  </si>
  <si>
    <t>CT 7068 / 773</t>
  </si>
  <si>
    <t>13/02/2025</t>
  </si>
  <si>
    <t>Q20L15</t>
  </si>
  <si>
    <t>Fidelis Henrique Machado Mariano</t>
  </si>
  <si>
    <t>CT 6763 / 435</t>
  </si>
  <si>
    <t>28/07/2025</t>
  </si>
  <si>
    <t>Q20L17</t>
  </si>
  <si>
    <t>CT 6762 / 657</t>
  </si>
  <si>
    <t>Q20L09</t>
  </si>
  <si>
    <t>FILIPE DA SILVA</t>
  </si>
  <si>
    <t>CT 7527 / 727</t>
  </si>
  <si>
    <t>30/05/2025</t>
  </si>
  <si>
    <t>Q22L02</t>
  </si>
  <si>
    <t>FLÁVIA MARÍLIA MOREIRA DA SILVA</t>
  </si>
  <si>
    <t>CT 6790 / 534</t>
  </si>
  <si>
    <t>Q04L08</t>
  </si>
  <si>
    <t>CT 6755 / 391</t>
  </si>
  <si>
    <t>23/10/2024</t>
  </si>
  <si>
    <t>Q22L05</t>
  </si>
  <si>
    <t>FRANCIELE BARRETO DE SOUZA</t>
  </si>
  <si>
    <t>CT 7528 / 747</t>
  </si>
  <si>
    <t>Q15L36</t>
  </si>
  <si>
    <t>GIRLANE DA SILVA SANTOS</t>
  </si>
  <si>
    <t>CT 6522 / 507</t>
  </si>
  <si>
    <t>21/08/2024</t>
  </si>
  <si>
    <t>Q14L13</t>
  </si>
  <si>
    <t>Heloise Castelani Lopes</t>
  </si>
  <si>
    <t>CT 7025 / 3193</t>
  </si>
  <si>
    <t>Q15L21</t>
  </si>
  <si>
    <t>ISABELA SILVA DO NASCIMENTO</t>
  </si>
  <si>
    <t>CT 7432 / 598</t>
  </si>
  <si>
    <t>06/05/2025</t>
  </si>
  <si>
    <t>Q15L31</t>
  </si>
  <si>
    <t>Jean Inacio Crespo Leite</t>
  </si>
  <si>
    <t>CT 6676 / 511</t>
  </si>
  <si>
    <t>Q04L21</t>
  </si>
  <si>
    <t>Jhonatan dos Santos Silva Nascimento</t>
  </si>
  <si>
    <t>CT 6098 / 754</t>
  </si>
  <si>
    <t>João Carlos Pessanha da Costa</t>
  </si>
  <si>
    <t>CT 6860 / 676</t>
  </si>
  <si>
    <t>25/11/2024</t>
  </si>
  <si>
    <t>CT 6901 / 449</t>
  </si>
  <si>
    <t>Q22L21</t>
  </si>
  <si>
    <t>JOÃO VITOR GOMES BERTY</t>
  </si>
  <si>
    <t>CT 7048 / 688</t>
  </si>
  <si>
    <t>F01QGL55</t>
  </si>
  <si>
    <t>JUDILSON DOS SANTOS ANCELMO</t>
  </si>
  <si>
    <t>CT 5585 / 1581</t>
  </si>
  <si>
    <t>04/10/2023</t>
  </si>
  <si>
    <t>Q14L19</t>
  </si>
  <si>
    <t>Julia Castelani Lopes</t>
  </si>
  <si>
    <t>CT 6985 / 2925</t>
  </si>
  <si>
    <t>Q14L14</t>
  </si>
  <si>
    <t>CT 6984 / 2243</t>
  </si>
  <si>
    <t>Q15L43</t>
  </si>
  <si>
    <t>Julio Franca Pereira de Alvarenga</t>
  </si>
  <si>
    <t>CT 6711 / 494</t>
  </si>
  <si>
    <t>05/10/2024</t>
  </si>
  <si>
    <t>Q22L04</t>
  </si>
  <si>
    <t>KEVERSON LUIS SOARES GONÇALVES DA SILVA</t>
  </si>
  <si>
    <t>CT 6906 / 489</t>
  </si>
  <si>
    <t>Q22L22</t>
  </si>
  <si>
    <t>Kyvia Mendonça ferraz de Oliveira Costa</t>
  </si>
  <si>
    <t>CT 6865 / 422</t>
  </si>
  <si>
    <t>27/11/2024</t>
  </si>
  <si>
    <t>F01QIL34</t>
  </si>
  <si>
    <t>LEANDRO JACINTO BARBOSA</t>
  </si>
  <si>
    <t>CT 6965 / 1528</t>
  </si>
  <si>
    <t>30/12/2024</t>
  </si>
  <si>
    <t>Lian Gonçalo Jesus da Silva</t>
  </si>
  <si>
    <t>CT 6624 / 620</t>
  </si>
  <si>
    <t>Q12L20</t>
  </si>
  <si>
    <t>LUCAS BARRETO DA CRUZ TAVARES</t>
  </si>
  <si>
    <t>CT 6139 / 502</t>
  </si>
  <si>
    <t>14/05/2024</t>
  </si>
  <si>
    <t>Q07L28</t>
  </si>
  <si>
    <t>Luciana Nascimento Costa</t>
  </si>
  <si>
    <t>CT 6281 / 484</t>
  </si>
  <si>
    <t>CT 6643 / 684</t>
  </si>
  <si>
    <t>21/09/2024</t>
  </si>
  <si>
    <t>Marcel Manuel dos Santos</t>
  </si>
  <si>
    <t>CT 6306 / 2869</t>
  </si>
  <si>
    <t>20/06/2024</t>
  </si>
  <si>
    <t>Q21L10S</t>
  </si>
  <si>
    <t>Marco Antonio Freitas Garcia Filho</t>
  </si>
  <si>
    <t>CT 7239 / 4124</t>
  </si>
  <si>
    <t>Q21L12S</t>
  </si>
  <si>
    <t>CT 7241 / 4249</t>
  </si>
  <si>
    <t>Q21L11S</t>
  </si>
  <si>
    <t>CT 7240 / 4306</t>
  </si>
  <si>
    <t>Q22L31</t>
  </si>
  <si>
    <t>MONIQUE MACHADO DA SILVA</t>
  </si>
  <si>
    <t>CT 7045 / 675</t>
  </si>
  <si>
    <t>10/02/2025</t>
  </si>
  <si>
    <t>20/08/2025</t>
  </si>
  <si>
    <t>Nathaly Gomes Carvalho</t>
  </si>
  <si>
    <t>CT 6597 / 702</t>
  </si>
  <si>
    <t>09/09/2024</t>
  </si>
  <si>
    <t>Q16L01</t>
  </si>
  <si>
    <t>Otton De Souza Neto</t>
  </si>
  <si>
    <t>CT 6919 / 379</t>
  </si>
  <si>
    <t>12/12/2024</t>
  </si>
  <si>
    <t>Q24L07</t>
  </si>
  <si>
    <t>Pablo Sérgio Teixeira Honorato</t>
  </si>
  <si>
    <t>CT 6780 / 563</t>
  </si>
  <si>
    <t>26/10/2024</t>
  </si>
  <si>
    <t>05/06/2025</t>
  </si>
  <si>
    <t>Q14L09</t>
  </si>
  <si>
    <t>Palloma Ribeiro D uva</t>
  </si>
  <si>
    <t>CT 6407 / 575</t>
  </si>
  <si>
    <t>23/07/2024</t>
  </si>
  <si>
    <t>Q22L32</t>
  </si>
  <si>
    <t>Priscilla de Melo Pereira</t>
  </si>
  <si>
    <t>CT 6911 / 536</t>
  </si>
  <si>
    <t>05/12/2024</t>
  </si>
  <si>
    <t>Q05L04</t>
  </si>
  <si>
    <t>R. MORAIS SERVIÇOS AGRÍCOLAS LTDA</t>
  </si>
  <si>
    <t>CT 5632 / 3057</t>
  </si>
  <si>
    <t>31/10/2023</t>
  </si>
  <si>
    <t>Q05L43</t>
  </si>
  <si>
    <t>CT 5633 / 2391</t>
  </si>
  <si>
    <t>RACHEL ROSA DE SANTANA</t>
  </si>
  <si>
    <t>CT 7053 / 734</t>
  </si>
  <si>
    <t>CT 6809 / 588</t>
  </si>
  <si>
    <t>Q15L05</t>
  </si>
  <si>
    <t>RAFAELA GANDRA PIMENTEL</t>
  </si>
  <si>
    <t>CT 7565 / 486</t>
  </si>
  <si>
    <t>09/06/2025</t>
  </si>
  <si>
    <t>Q20L61A</t>
  </si>
  <si>
    <t>Raquel da Silva Dias</t>
  </si>
  <si>
    <t>CT 7214 / 4289</t>
  </si>
  <si>
    <t>Q20L62A</t>
  </si>
  <si>
    <t>CT 7215 / 4264</t>
  </si>
  <si>
    <t>Q24L04</t>
  </si>
  <si>
    <t>ROBSON FELLIPE RIBEIRO DE ANDRADE</t>
  </si>
  <si>
    <t>CT 6741 / 599</t>
  </si>
  <si>
    <t>05/05/2025</t>
  </si>
  <si>
    <t>Q14L18</t>
  </si>
  <si>
    <t>TALES HENRIQUE STEFANI</t>
  </si>
  <si>
    <t>CT 6439 / 2594</t>
  </si>
  <si>
    <t>26/07/2024</t>
  </si>
  <si>
    <t>Q14L17</t>
  </si>
  <si>
    <t>CT 6438 / 3134</t>
  </si>
  <si>
    <t>Q02L01S</t>
  </si>
  <si>
    <t>TERRA NOVA CONSTRUÇÕES</t>
  </si>
  <si>
    <t>CT 7377 / 4305</t>
  </si>
  <si>
    <t>Q19L12S</t>
  </si>
  <si>
    <t>CT 7243 / 4146</t>
  </si>
  <si>
    <t>QFL21</t>
  </si>
  <si>
    <t>VICTOR HUGO GONCALVES BATISTA</t>
  </si>
  <si>
    <t>CT 6398 / 1217</t>
  </si>
  <si>
    <t>17/07/2024</t>
  </si>
  <si>
    <t>QFL17</t>
  </si>
  <si>
    <t>CT 6396 / 1270</t>
  </si>
  <si>
    <t>16/07/2024</t>
  </si>
  <si>
    <t>Q16L17</t>
  </si>
  <si>
    <t>Wellington Alves Muniz</t>
  </si>
  <si>
    <t>CT 6806 / 647</t>
  </si>
  <si>
    <t>31/10/2024</t>
  </si>
  <si>
    <t>Q24L10</t>
  </si>
  <si>
    <t>WELLINGTON NEVES DA SILVA</t>
  </si>
  <si>
    <t>CT 6896 / 703</t>
  </si>
  <si>
    <t>Q24L11</t>
  </si>
  <si>
    <t>CT 6897 / 745</t>
  </si>
  <si>
    <t>YURI PEREIRA DE SOUZA</t>
  </si>
  <si>
    <t>CT 7023 / 524</t>
  </si>
  <si>
    <t>Q11L35</t>
  </si>
  <si>
    <t>ADILNEY FABRICIO LOPES SIQUEIRA</t>
  </si>
  <si>
    <t>CT 4799 / 3232</t>
  </si>
  <si>
    <t>Q11L34</t>
  </si>
  <si>
    <t>CT 4798 / 2581</t>
  </si>
  <si>
    <t>Q06L07</t>
  </si>
  <si>
    <t>Alessandro Alves Ramos</t>
  </si>
  <si>
    <t>CT 6020 / 414</t>
  </si>
  <si>
    <t>21/03/2024</t>
  </si>
  <si>
    <t>F01QFL14</t>
  </si>
  <si>
    <t>ALETEIA DOS SANTOS RODRIGUES</t>
  </si>
  <si>
    <t>CT 1698 / 2080</t>
  </si>
  <si>
    <t>15/11/2019</t>
  </si>
  <si>
    <t>QFL31</t>
  </si>
  <si>
    <t>Alexandre Henrique Serafim</t>
  </si>
  <si>
    <t>CT 7090 / 793</t>
  </si>
  <si>
    <t>Q09L05</t>
  </si>
  <si>
    <t>ALISSOM EDI FLORENCIO</t>
  </si>
  <si>
    <t>CT 4771 / 3301</t>
  </si>
  <si>
    <t>QCL06</t>
  </si>
  <si>
    <t>ANDRE SILVA TAMAOKI</t>
  </si>
  <si>
    <t>CT 4478 / 1241</t>
  </si>
  <si>
    <t>QCL07</t>
  </si>
  <si>
    <t>CT 4479 / 1183</t>
  </si>
  <si>
    <t>F01QCL22</t>
  </si>
  <si>
    <t>ANTONIO ADRIANO SILVA DOS SANTOS</t>
  </si>
  <si>
    <t>CT 253 / 1954</t>
  </si>
  <si>
    <t>01/03/2017</t>
  </si>
  <si>
    <t>30/06/2025</t>
  </si>
  <si>
    <t>QPL21</t>
  </si>
  <si>
    <t>ANTONIO FERNANDES BORGES</t>
  </si>
  <si>
    <t>CT 2958 / 6414</t>
  </si>
  <si>
    <t>14/12/2020</t>
  </si>
  <si>
    <t>22/06/2025</t>
  </si>
  <si>
    <t>QBL09</t>
  </si>
  <si>
    <t>ANTONIO JOAO COIMBRA JACINTHO</t>
  </si>
  <si>
    <t>CT 4167 / 1239</t>
  </si>
  <si>
    <t>Q07L34</t>
  </si>
  <si>
    <t>ASAPH ALMEIDA DOS SANTOS</t>
  </si>
  <si>
    <t>CT 5655 / 415</t>
  </si>
  <si>
    <t>06/11/2023</t>
  </si>
  <si>
    <t>Q18L34</t>
  </si>
  <si>
    <t>BRUNO DAMANDO CURY</t>
  </si>
  <si>
    <t>CT 5465 / 2447</t>
  </si>
  <si>
    <t>01/08/2023</t>
  </si>
  <si>
    <t>Q10L12</t>
  </si>
  <si>
    <t>CARLOS MAGNO DA SILVA RIBEIRO</t>
  </si>
  <si>
    <t>CT 3995 / 685</t>
  </si>
  <si>
    <t>QAL02</t>
  </si>
  <si>
    <t>CARLOS RODRIGUES GUIMARÃES</t>
  </si>
  <si>
    <t>CT 3154 / 3732</t>
  </si>
  <si>
    <t>21/05/2021</t>
  </si>
  <si>
    <t>F01QNL25</t>
  </si>
  <si>
    <t>CARLOS ROGERIO DE ALENCAR DAS CHAGAS</t>
  </si>
  <si>
    <t>CT 3627 / 1900</t>
  </si>
  <si>
    <t>30/09/2021</t>
  </si>
  <si>
    <t>Q04L13</t>
  </si>
  <si>
    <t>CARLOS SILVA BORGES</t>
  </si>
  <si>
    <t>CT 3792 / 280</t>
  </si>
  <si>
    <t>07/12/2021</t>
  </si>
  <si>
    <t>Q40L13</t>
  </si>
  <si>
    <t xml:space="preserve">CASTAGINE COMERCIO E INDUSTRIA MECANICA </t>
  </si>
  <si>
    <t>CT 6968 / 2526</t>
  </si>
  <si>
    <t>03/01/2025</t>
  </si>
  <si>
    <t>QCL26</t>
  </si>
  <si>
    <t>CATIA DA SILVA SOUZA</t>
  </si>
  <si>
    <t>CT 2148 / 1144</t>
  </si>
  <si>
    <t>15/06/2020</t>
  </si>
  <si>
    <t>QHL24</t>
  </si>
  <si>
    <t>CHARLES GOMES DE SOUZA</t>
  </si>
  <si>
    <t>CT 2952 / 6611</t>
  </si>
  <si>
    <t>01/12/2020</t>
  </si>
  <si>
    <t>F01QEL11</t>
  </si>
  <si>
    <t>CREILDA SOUZA ARAUJO</t>
  </si>
  <si>
    <t>CT 3661 / 2072</t>
  </si>
  <si>
    <t>01/10/2021</t>
  </si>
  <si>
    <t>F01QLL04</t>
  </si>
  <si>
    <t>CRISTIANO APARECIDO ARAUJO CRUZ</t>
  </si>
  <si>
    <t>CT 217 / 1481</t>
  </si>
  <si>
    <t>01/11/2016</t>
  </si>
  <si>
    <t>F01QOL04</t>
  </si>
  <si>
    <t>DAINE RODRIGUES DA SILVA</t>
  </si>
  <si>
    <t>CT 3613 / 1465</t>
  </si>
  <si>
    <t>20/09/2021</t>
  </si>
  <si>
    <t>DAMARES DE SOUZA MARIANO</t>
  </si>
  <si>
    <t>CT 1109 / 6631</t>
  </si>
  <si>
    <t>03/10/2018</t>
  </si>
  <si>
    <t>Q25L02</t>
  </si>
  <si>
    <t>Douglas Vinicius Ribeiro Vaz</t>
  </si>
  <si>
    <t>CT 5087 / 3050</t>
  </si>
  <si>
    <t>24/05/2023</t>
  </si>
  <si>
    <t>Q19L01S</t>
  </si>
  <si>
    <t>Elisangela Souza Barbosa</t>
  </si>
  <si>
    <t>CT 7229 / 4286</t>
  </si>
  <si>
    <t>QIL20</t>
  </si>
  <si>
    <t>EMERSON GONÇALVES DOS SANTOS</t>
  </si>
  <si>
    <t>CT 2997 / 6548</t>
  </si>
  <si>
    <t>ERINALDO FERNANDES DE CAMPOS</t>
  </si>
  <si>
    <t>CT 2261 / 1109</t>
  </si>
  <si>
    <t>03/07/2020</t>
  </si>
  <si>
    <t>20/06/2025</t>
  </si>
  <si>
    <t>F01QNL28</t>
  </si>
  <si>
    <t>FABRICIO DE SOUZA LINO</t>
  </si>
  <si>
    <t>CT 1030 / 1968</t>
  </si>
  <si>
    <t>06/08/2018</t>
  </si>
  <si>
    <t>22/05/2025</t>
  </si>
  <si>
    <t>Q30L05</t>
  </si>
  <si>
    <t xml:space="preserve">FABRICIO SANTOS SOCIEDADE INDIVIDUAL DE </t>
  </si>
  <si>
    <t>CT 4959 / 2299</t>
  </si>
  <si>
    <t>09/05/2023</t>
  </si>
  <si>
    <t>Q10L35</t>
  </si>
  <si>
    <t>Felice &amp;amp; Dias Calçados Ltda</t>
  </si>
  <si>
    <t>CT 4797 / 2172</t>
  </si>
  <si>
    <t>28/04/2023</t>
  </si>
  <si>
    <t>05/07/2025</t>
  </si>
  <si>
    <t>F01QHL35</t>
  </si>
  <si>
    <t>FERNANDA CAETANO DA SILVA</t>
  </si>
  <si>
    <t>CT 4439 / 1717</t>
  </si>
  <si>
    <t>04/12/2022</t>
  </si>
  <si>
    <t>Fidelcino Soares dos Santos Junior</t>
  </si>
  <si>
    <t>CT 4935 / 3168</t>
  </si>
  <si>
    <t>QEL01</t>
  </si>
  <si>
    <t>GILBERTO MACEDO DE JESUS</t>
  </si>
  <si>
    <t>CT 2067 / 1055</t>
  </si>
  <si>
    <t>29/05/2020</t>
  </si>
  <si>
    <t>F01QQL09</t>
  </si>
  <si>
    <t>GILSON GONÇALVES BARBOSA</t>
  </si>
  <si>
    <t>CT 3183 / 1450</t>
  </si>
  <si>
    <t>01/05/2021</t>
  </si>
  <si>
    <t>QCL42</t>
  </si>
  <si>
    <t>JACILENE NUNES SOUZA</t>
  </si>
  <si>
    <t>CT 4412 / 1165</t>
  </si>
  <si>
    <t>24/10/2022</t>
  </si>
  <si>
    <t>Q05L14</t>
  </si>
  <si>
    <t>João Lucas Férras da Motta dos Santos</t>
  </si>
  <si>
    <t>CT 6554 / 667</t>
  </si>
  <si>
    <t>28/08/2024</t>
  </si>
  <si>
    <t>QFL20</t>
  </si>
  <si>
    <t>JOÃO PAULO ZAMBERLAN SALVADOR</t>
  </si>
  <si>
    <t>CT 6415 / 1251</t>
  </si>
  <si>
    <t>QBL05</t>
  </si>
  <si>
    <t>Joao Vitor Neres Lopes</t>
  </si>
  <si>
    <t>CT 6841 / 899</t>
  </si>
  <si>
    <t>JONATAS HENRIQUE DE OLIVEIRA URSULO</t>
  </si>
  <si>
    <t>CT 7169 / 948</t>
  </si>
  <si>
    <t>QEL23</t>
  </si>
  <si>
    <t>JOSE MARIA FERREIRA PEREIRA</t>
  </si>
  <si>
    <t>CT 1752 / 4504</t>
  </si>
  <si>
    <t>01/12/2019</t>
  </si>
  <si>
    <t>F01QHL46</t>
  </si>
  <si>
    <t>KAREN ARAUJO DE SOUZA</t>
  </si>
  <si>
    <t>CT 203 / 1986</t>
  </si>
  <si>
    <t>QEL19</t>
  </si>
  <si>
    <t>KARINA MOTTA BARBOSA VITORETO</t>
  </si>
  <si>
    <t>CT 4246 / 1110</t>
  </si>
  <si>
    <t>01/07/2022</t>
  </si>
  <si>
    <t>QNL07</t>
  </si>
  <si>
    <t>KATIA APARECIDA DA SILVA</t>
  </si>
  <si>
    <t>CT 3472 / 6434</t>
  </si>
  <si>
    <t>24/08/2021</t>
  </si>
  <si>
    <t>31/07/2025</t>
  </si>
  <si>
    <t>Q10L03</t>
  </si>
  <si>
    <t>KERLEY SILVA MARTINS</t>
  </si>
  <si>
    <t>CT 7052 / 243</t>
  </si>
  <si>
    <t>06/02/2025</t>
  </si>
  <si>
    <t>Q26L23S</t>
  </si>
  <si>
    <t>KETHELLYN BEATRIZ DA SILVA CAETANO</t>
  </si>
  <si>
    <t>CT 7193 / 4131</t>
  </si>
  <si>
    <t>F01QIL41</t>
  </si>
  <si>
    <t>KEVEN GUSTAVO BUENO</t>
  </si>
  <si>
    <t>CT 6298 / 2112</t>
  </si>
  <si>
    <t>18/06/2024</t>
  </si>
  <si>
    <t>LAÉRCIO DA SILVA</t>
  </si>
  <si>
    <t>CT 4642 / 961</t>
  </si>
  <si>
    <t>Q11L05</t>
  </si>
  <si>
    <t>LAIS APARECIDA BARCELOS ERNESTO</t>
  </si>
  <si>
    <t>CT 5512 / 2814</t>
  </si>
  <si>
    <t>05/09/2023</t>
  </si>
  <si>
    <t>Q11L06</t>
  </si>
  <si>
    <t>CT 5511 / 2503</t>
  </si>
  <si>
    <t>QGL14</t>
  </si>
  <si>
    <t>LAYSE OHANA DE OLIVEIRA AIRES</t>
  </si>
  <si>
    <t>CT 2532 / 4589</t>
  </si>
  <si>
    <t>10/08/2020</t>
  </si>
  <si>
    <t>Q01L32</t>
  </si>
  <si>
    <t>LD VIAGENS</t>
  </si>
  <si>
    <t>CT 5699 / 3186</t>
  </si>
  <si>
    <t>04/12/2023</t>
  </si>
  <si>
    <t>Q01L33</t>
  </si>
  <si>
    <t>CT 5700 / 2608</t>
  </si>
  <si>
    <t>F01QLL34</t>
  </si>
  <si>
    <t>LUANA OLIVEIRA SANTOS GUIMARÃES</t>
  </si>
  <si>
    <t>CT 3695 / 1916</t>
  </si>
  <si>
    <t>QBL12</t>
  </si>
  <si>
    <t>LUCAS DOS SANTOS HORÁCIO MOTA</t>
  </si>
  <si>
    <t>CT 3482 / 1069</t>
  </si>
  <si>
    <t>Q28L44</t>
  </si>
  <si>
    <t>Luciana Barbosa de Lima</t>
  </si>
  <si>
    <t>CT 5043 / 2361</t>
  </si>
  <si>
    <t>Q06L05</t>
  </si>
  <si>
    <t>Lucilia Lima Costa Vasconcelos</t>
  </si>
  <si>
    <t>CT 7007 / 3172</t>
  </si>
  <si>
    <t>Q07L14</t>
  </si>
  <si>
    <t>LUIS PAULO MOREIRA MAMEDE</t>
  </si>
  <si>
    <t>CT 5516 / 3063</t>
  </si>
  <si>
    <t>QAL15</t>
  </si>
  <si>
    <t>LUIZ FERNANDO GONCALVES</t>
  </si>
  <si>
    <t>CT 2211 / 1066</t>
  </si>
  <si>
    <t>29/06/2020</t>
  </si>
  <si>
    <t>QDL36</t>
  </si>
  <si>
    <t>MANOEL PEDRO DA SILVA</t>
  </si>
  <si>
    <t>CT 3674 / 761</t>
  </si>
  <si>
    <t>09/11/2021</t>
  </si>
  <si>
    <t>F01QFL27</t>
  </si>
  <si>
    <t>MARIA BUENO TRANSPORTES EIRELI</t>
  </si>
  <si>
    <t>CT 4230 / 1603</t>
  </si>
  <si>
    <t>MARIA EDILEUZA SAMPAIO DOS SANTOS</t>
  </si>
  <si>
    <t>CT 3359 / 4619</t>
  </si>
  <si>
    <t>MARIA FERREIRA GORETE DA SILVA</t>
  </si>
  <si>
    <t>CT 5681 / 1161</t>
  </si>
  <si>
    <t>22/11/2023</t>
  </si>
  <si>
    <t>Q28L04</t>
  </si>
  <si>
    <t>Maria Leticia de Sousa Martins Cares</t>
  </si>
  <si>
    <t>CT 4727 / 3255</t>
  </si>
  <si>
    <t>QAL31</t>
  </si>
  <si>
    <t>MARIETE BATISTA PAULINO SILVA</t>
  </si>
  <si>
    <t>CT 4021 / 1134</t>
  </si>
  <si>
    <t>F01QGL05</t>
  </si>
  <si>
    <t>MARLI GRINAURA DOS SANTOS</t>
  </si>
  <si>
    <t>CT 1075 / 1908</t>
  </si>
  <si>
    <t>04/09/2018</t>
  </si>
  <si>
    <t>F01QNL04</t>
  </si>
  <si>
    <t>MATHEUS ALMEIDA DE MIRANDA</t>
  </si>
  <si>
    <t>CT 3655 / 1970</t>
  </si>
  <si>
    <t>F01QHL63</t>
  </si>
  <si>
    <t>MESSIAS JOSE DA SILVA</t>
  </si>
  <si>
    <t>CT 213 / 2128</t>
  </si>
  <si>
    <t>01/10/2016</t>
  </si>
  <si>
    <t>F01QHL62</t>
  </si>
  <si>
    <t>MESSIAS JOSÉ DA SILVA AR CONDICIONADO ME</t>
  </si>
  <si>
    <t>CT 212 / 1439</t>
  </si>
  <si>
    <t>QDL21</t>
  </si>
  <si>
    <t>PAMELA MACARI</t>
  </si>
  <si>
    <t>CT 2210 / 827</t>
  </si>
  <si>
    <t>07/06/2025</t>
  </si>
  <si>
    <t>QFL03</t>
  </si>
  <si>
    <t>PAULO CESAR SANTANA DO NASCIMENTO</t>
  </si>
  <si>
    <t>CT 2536 / 4657</t>
  </si>
  <si>
    <t>F01QFL33</t>
  </si>
  <si>
    <t>PRISCILA ALVES DA COSTA SILVA</t>
  </si>
  <si>
    <t>CT 3683 / 1961</t>
  </si>
  <si>
    <t>Q10L21</t>
  </si>
  <si>
    <t>RAPHAEL SOUZA SILVA</t>
  </si>
  <si>
    <t>CT 4401 / 377</t>
  </si>
  <si>
    <t>03/10/2022</t>
  </si>
  <si>
    <t>Q05L31</t>
  </si>
  <si>
    <t>Regiane Fradique de Lima</t>
  </si>
  <si>
    <t>CT 6569 / 3188</t>
  </si>
  <si>
    <t>QGL13</t>
  </si>
  <si>
    <t>Ricardo Aparecido Alves</t>
  </si>
  <si>
    <t>CT 7434 / 941</t>
  </si>
  <si>
    <t>07/05/2025</t>
  </si>
  <si>
    <t>CT 7112 / 1002</t>
  </si>
  <si>
    <t>19/03/2025</t>
  </si>
  <si>
    <t>F01QKL01</t>
  </si>
  <si>
    <t>ROBERT DA SILVA PINTO</t>
  </si>
  <si>
    <t>CT 2074 / 1713</t>
  </si>
  <si>
    <t>F01QPL29</t>
  </si>
  <si>
    <t>ROBSON YUDI YOSHIGAWA</t>
  </si>
  <si>
    <t>CT 3525 / 1822</t>
  </si>
  <si>
    <t>QCL04</t>
  </si>
  <si>
    <t>RODRIGO APARECIDO DE FREITAS</t>
  </si>
  <si>
    <t>CT 3313 / 6597</t>
  </si>
  <si>
    <t>Q06L17</t>
  </si>
  <si>
    <t>RODRIGO VIEIRA</t>
  </si>
  <si>
    <t>CT 3809 / 259</t>
  </si>
  <si>
    <t>09/12/2021</t>
  </si>
  <si>
    <t>08/07/2025</t>
  </si>
  <si>
    <t>SANDI CRISTINA FERNANDES MOREIRA SENNA</t>
  </si>
  <si>
    <t>CT 4275 / 358</t>
  </si>
  <si>
    <t>F01QKL04</t>
  </si>
  <si>
    <t>SANDRO MARCOS SILVA FERREIRA</t>
  </si>
  <si>
    <t>CT 3522 / 1805</t>
  </si>
  <si>
    <t>02/09/2021</t>
  </si>
  <si>
    <t>Q30L17A</t>
  </si>
  <si>
    <t>SHIRLEIDE O CARDOSO</t>
  </si>
  <si>
    <t>CT 7334 / 4168</t>
  </si>
  <si>
    <t>Q13L13</t>
  </si>
  <si>
    <t>SIMONE BRITO VIEIRA</t>
  </si>
  <si>
    <t>CT 3952 / 516</t>
  </si>
  <si>
    <t>Q12L13</t>
  </si>
  <si>
    <t>SUERLANE RIBEIRO PIMENTEL</t>
  </si>
  <si>
    <t>CT 5177 / 495</t>
  </si>
  <si>
    <t>06/06/2023</t>
  </si>
  <si>
    <t>F01QPL21</t>
  </si>
  <si>
    <t>TAMIRIS BORGES DA SILVA</t>
  </si>
  <si>
    <t>CT 1238 / 1435</t>
  </si>
  <si>
    <t>09/01/2019</t>
  </si>
  <si>
    <t>QFL22</t>
  </si>
  <si>
    <t>THAINÁ RELITA DIAS PINTO</t>
  </si>
  <si>
    <t>CT 4398 / 763</t>
  </si>
  <si>
    <t>27/10/2022</t>
  </si>
  <si>
    <t>F01QDL01</t>
  </si>
  <si>
    <t>THIAGO DOS SANTOS GARDIM</t>
  </si>
  <si>
    <t>CT 2175 / 1457</t>
  </si>
  <si>
    <t>23/06/2020</t>
  </si>
  <si>
    <t>Q03L26</t>
  </si>
  <si>
    <t>Thiago Mendes Montanha Ribeiro</t>
  </si>
  <si>
    <t>CT 6902 / 591</t>
  </si>
  <si>
    <t>Q29L21</t>
  </si>
  <si>
    <t>Tiago Ramos</t>
  </si>
  <si>
    <t>CT 5144 / 2571</t>
  </si>
  <si>
    <t>02/05/2023</t>
  </si>
  <si>
    <t>Q29L39</t>
  </si>
  <si>
    <t>UILSON PEREIRA DE JESUS JUNIOR</t>
  </si>
  <si>
    <t>CT 7028 / 2388</t>
  </si>
  <si>
    <t>31/01/2025</t>
  </si>
  <si>
    <t>F02QBL08</t>
  </si>
  <si>
    <t>CT 5342 / 1893</t>
  </si>
  <si>
    <t>QEL34</t>
  </si>
  <si>
    <t>WALTERNY DE SOUZA FERREIRA</t>
  </si>
  <si>
    <t>CT 6144 / 968</t>
  </si>
  <si>
    <t>Q04L04 B</t>
  </si>
  <si>
    <t>YURI BISPO DE BARROS</t>
  </si>
  <si>
    <t>CT 7611 / 5988</t>
  </si>
  <si>
    <t>29/06/2025</t>
  </si>
  <si>
    <t>YURI SIMÕES RANGEL GOMES</t>
  </si>
  <si>
    <t>CT 4385 / 369</t>
  </si>
  <si>
    <t>29/09/2022</t>
  </si>
  <si>
    <t>F01QJL04</t>
  </si>
  <si>
    <t>AILTON ALVES BRITO</t>
  </si>
  <si>
    <t>CT 2343 / 1882</t>
  </si>
  <si>
    <t>16/07/2020</t>
  </si>
  <si>
    <t>QAL23</t>
  </si>
  <si>
    <t>ALLYSON VINICIUS LOURENÇO DE JESUS</t>
  </si>
  <si>
    <t>CT 2348 / 1118</t>
  </si>
  <si>
    <t>20/07/2020</t>
  </si>
  <si>
    <t>QBL03</t>
  </si>
  <si>
    <t>CARLOS ROBERTO BRAGUIM NEVES</t>
  </si>
  <si>
    <t>CT 2162 / 1103</t>
  </si>
  <si>
    <t>12/05/2025</t>
  </si>
  <si>
    <t>QAL05</t>
  </si>
  <si>
    <t>CAROLINE DE CAMARGO FERNANDES</t>
  </si>
  <si>
    <t>CT 7509 / 5950</t>
  </si>
  <si>
    <t>ELIAS SOARES DE ARAUJO</t>
  </si>
  <si>
    <t>CT 3397 / 834</t>
  </si>
  <si>
    <t>29/07/2021</t>
  </si>
  <si>
    <t>QEL14</t>
  </si>
  <si>
    <t>EVERTON KENNEDY FERREIRA SANTOS</t>
  </si>
  <si>
    <t>CT 4020 / 1045</t>
  </si>
  <si>
    <t>QCL21</t>
  </si>
  <si>
    <t>JOSE ROBERTO ALVES PEREIRA</t>
  </si>
  <si>
    <t>CT 5501 / 1003</t>
  </si>
  <si>
    <t>07/08/2023</t>
  </si>
  <si>
    <t>KARIN CRISTINA COSTA MACHADO</t>
  </si>
  <si>
    <t>CT 1964 / 1164</t>
  </si>
  <si>
    <t>03/04/2020</t>
  </si>
  <si>
    <t>LUILSON FERNANDES DE FRANCA</t>
  </si>
  <si>
    <t>CT 2248 / 4536</t>
  </si>
  <si>
    <t>25/06/2020</t>
  </si>
  <si>
    <t>QBL11</t>
  </si>
  <si>
    <t>PAULO VITOR FERNANDES FREITAS</t>
  </si>
  <si>
    <t>CT 2120 / 4661</t>
  </si>
  <si>
    <t>QGL26</t>
  </si>
  <si>
    <t>WESLEY DE ALCANTARA CORREA</t>
  </si>
  <si>
    <t>CT 2407 / 6538</t>
  </si>
  <si>
    <t>24/07/2020</t>
  </si>
  <si>
    <t>F01QQL15</t>
  </si>
  <si>
    <t>CARLOS EDUARDO LANGANKE LIMA</t>
  </si>
  <si>
    <t>CT 4050 / 1711</t>
  </si>
  <si>
    <t>QCL05</t>
  </si>
  <si>
    <t>HESLER RODRIGO SCIENZA</t>
  </si>
  <si>
    <t>CT 5618 / 764</t>
  </si>
  <si>
    <t>17/10/2023</t>
  </si>
  <si>
    <t>QEL10</t>
  </si>
  <si>
    <t>SEBASTIÃO VITOR CARACANHA</t>
  </si>
  <si>
    <t>CT 3079 / 772</t>
  </si>
  <si>
    <t>SILVIO CESAR QUIRINO</t>
  </si>
  <si>
    <t>CT 3429 / 964</t>
  </si>
  <si>
    <t>Q05L23</t>
  </si>
  <si>
    <t>L.L.P. ADMINISTRACAO DE BENS LTDA</t>
  </si>
  <si>
    <t>CT 5010 / 2489</t>
  </si>
  <si>
    <t>10/05/2023</t>
  </si>
  <si>
    <t>25/12/2025</t>
  </si>
  <si>
    <t>25/02/2026</t>
  </si>
  <si>
    <t>28/02/2026</t>
  </si>
  <si>
    <t>Q25L34</t>
  </si>
  <si>
    <t>Andressa Ortiz De Andrade</t>
  </si>
  <si>
    <t>CT 5917 / 2306</t>
  </si>
  <si>
    <t>29/01/2024</t>
  </si>
  <si>
    <t>JESSICA DE JESUS BATISTA DOS SANTOS</t>
  </si>
  <si>
    <t>CT 6862 / 822</t>
  </si>
  <si>
    <t>07/11/2024</t>
  </si>
  <si>
    <t>10/03/2026</t>
  </si>
  <si>
    <t>QPL15</t>
  </si>
  <si>
    <t>Tatiana Araujo Dantas</t>
  </si>
  <si>
    <t>CT 4054 / 6418</t>
  </si>
  <si>
    <t>25/01/2026</t>
  </si>
  <si>
    <t>CT 3246 / 6654</t>
  </si>
  <si>
    <t>30/01/2026</t>
  </si>
  <si>
    <t>Grayceline Barboza de Andrade</t>
  </si>
  <si>
    <t>CT 5914 / 610</t>
  </si>
  <si>
    <t>10/02/2026</t>
  </si>
  <si>
    <t>F01QGL62</t>
  </si>
  <si>
    <t>HUDSON HERMANO FAUSTO</t>
  </si>
  <si>
    <t>CT 4919 / 1911</t>
  </si>
  <si>
    <t>KALIMDOR S/A</t>
  </si>
  <si>
    <t>CT 7549 / 5934</t>
  </si>
  <si>
    <t>28/05/2025</t>
  </si>
  <si>
    <t>11/09/2024</t>
  </si>
  <si>
    <t>06/01/2026</t>
  </si>
  <si>
    <t>15/04/2025</t>
  </si>
  <si>
    <t>09/11/2025</t>
  </si>
  <si>
    <t>17/10/2024</t>
  </si>
  <si>
    <t>28/05/2020</t>
  </si>
  <si>
    <t>25/01/2024</t>
  </si>
  <si>
    <t>12/08/2024</t>
  </si>
  <si>
    <t>QDL06</t>
  </si>
  <si>
    <t>01/10/2020</t>
  </si>
  <si>
    <t>31/01/2026</t>
  </si>
  <si>
    <t>Q05L22</t>
  </si>
  <si>
    <t>11/05/2023</t>
  </si>
  <si>
    <t>11/11/2025</t>
  </si>
  <si>
    <t>30/01/2024</t>
  </si>
  <si>
    <t>Q03L05</t>
  </si>
  <si>
    <t>01/04/2025</t>
  </si>
  <si>
    <t>22/10/2025</t>
  </si>
  <si>
    <t>30/08/2024</t>
  </si>
  <si>
    <t>Q03L07</t>
  </si>
  <si>
    <t>27/03/2025</t>
  </si>
  <si>
    <t>QCL27</t>
  </si>
  <si>
    <t>Q03L17</t>
  </si>
  <si>
    <t>ANDREA LUCIANA SEKI</t>
  </si>
  <si>
    <t>CT 5991 / 3297</t>
  </si>
  <si>
    <t>QML13</t>
  </si>
  <si>
    <t>ALEX SANDRO VICENTIM</t>
  </si>
  <si>
    <t>CT CV224227420 / 6869</t>
  </si>
  <si>
    <t>10/01/2026</t>
  </si>
  <si>
    <t>Q21L12</t>
  </si>
  <si>
    <t>Bruno Rossi Pereira</t>
  </si>
  <si>
    <t>CT 5097 / 2347</t>
  </si>
  <si>
    <t>Q28L09 A</t>
  </si>
  <si>
    <t>CAROLINE RODRIGUES SANTOS</t>
  </si>
  <si>
    <t>CT CVABMAIS193318099 / 7736</t>
  </si>
  <si>
    <t>19/11/2025</t>
  </si>
  <si>
    <t>20/01/2026</t>
  </si>
  <si>
    <t>QCL46</t>
  </si>
  <si>
    <t>DAYANE SOUZA LOPES GONÇALVES</t>
  </si>
  <si>
    <t>CT 7580 / 5883</t>
  </si>
  <si>
    <t>Q11L12</t>
  </si>
  <si>
    <t>DIEGO SAMPAIO DA SILVA</t>
  </si>
  <si>
    <t>CT 5622 / 2824</t>
  </si>
  <si>
    <t>24/10/2023</t>
  </si>
  <si>
    <t>15/01/2026</t>
  </si>
  <si>
    <t>QYL20</t>
  </si>
  <si>
    <t>Dorival Jose Alves</t>
  </si>
  <si>
    <t>CT CVABMAIS226887890 / 7664</t>
  </si>
  <si>
    <t>QCL33</t>
  </si>
  <si>
    <t>ERIVALDO MACENA SOARES</t>
  </si>
  <si>
    <t>CT 6735 / 6587</t>
  </si>
  <si>
    <t>QHL21</t>
  </si>
  <si>
    <t>Gessica Geise Franco de Souza</t>
  </si>
  <si>
    <t>CT 6174 / 995</t>
  </si>
  <si>
    <t>08/05/2024</t>
  </si>
  <si>
    <t>Q34L13</t>
  </si>
  <si>
    <t>IGOR CORREA TAVEIRA</t>
  </si>
  <si>
    <t>CT 6959 / 2524</t>
  </si>
  <si>
    <t>QAL35</t>
  </si>
  <si>
    <t>JERMANDA BEZERRA ALVES</t>
  </si>
  <si>
    <t>CT 3229 / 3684</t>
  </si>
  <si>
    <t>14/06/2021</t>
  </si>
  <si>
    <t>Q36L03</t>
  </si>
  <si>
    <t>LUIS GUSTAVO GALVANI</t>
  </si>
  <si>
    <t>CT 7133 / 2249</t>
  </si>
  <si>
    <t>Q17L12</t>
  </si>
  <si>
    <t>MARLENE GOMES DE BRITO CHAVES</t>
  </si>
  <si>
    <t>CT 5163 / 2751</t>
  </si>
  <si>
    <t>02/06/2023</t>
  </si>
  <si>
    <t>QTL27</t>
  </si>
  <si>
    <t>MATEUS CURY SARIAN</t>
  </si>
  <si>
    <t>CT CVABMAIS225788077 / 7432</t>
  </si>
  <si>
    <t>16/11/2025</t>
  </si>
  <si>
    <t>09/01/2026</t>
  </si>
  <si>
    <t>Q12L04 A</t>
  </si>
  <si>
    <t>NATALIA MASCARENHAS BOM FIM TRINDADE DE OLIVEIRA</t>
  </si>
  <si>
    <t>CT QD 12 LT 04 / 8103</t>
  </si>
  <si>
    <t>Q30L34</t>
  </si>
  <si>
    <t>RENICLENIO COSTA DOS SANTOS</t>
  </si>
  <si>
    <t>CT 7030 / 2673</t>
  </si>
  <si>
    <t>QJL09</t>
  </si>
  <si>
    <t>RHK PARTICIPACOES LTDA</t>
  </si>
  <si>
    <t>CT 6819 / 1322</t>
  </si>
  <si>
    <t>QNL23</t>
  </si>
  <si>
    <t>Rosangela De Oliveira Cruz</t>
  </si>
  <si>
    <t>CT 3023 / 6460</t>
  </si>
  <si>
    <t>Q06L03</t>
  </si>
  <si>
    <t>SUZILENE APARECIDA PATROCINIO CARREIRAS</t>
  </si>
  <si>
    <t>CT 6079 / 3184</t>
  </si>
  <si>
    <t>09/04/2024</t>
  </si>
  <si>
    <t>Q29L05</t>
  </si>
  <si>
    <t>Thayllon Kayk da Silva</t>
  </si>
  <si>
    <t>CT 7161 / 3012</t>
  </si>
  <si>
    <t>Q27L20 D</t>
  </si>
  <si>
    <t>VALDICIO ANTONIO DOS SANTOS</t>
  </si>
  <si>
    <t>CT CV193187415 / 7114</t>
  </si>
  <si>
    <t>Q15L38</t>
  </si>
  <si>
    <t>Willian Gomes Carvalho Junior</t>
  </si>
  <si>
    <t>CT 6538 / 564</t>
  </si>
  <si>
    <t>26/08/2024</t>
  </si>
  <si>
    <t>Q34L04</t>
  </si>
  <si>
    <t>BATISTA E ORLANDO ALIMENTOS LTDA.</t>
  </si>
  <si>
    <t>CT 7544 / 2396</t>
  </si>
  <si>
    <t>Q34L17</t>
  </si>
  <si>
    <t>CT 7547 / 2334</t>
  </si>
  <si>
    <t>Q14L11</t>
  </si>
  <si>
    <t>Bianca Ribeiro D uva</t>
  </si>
  <si>
    <t>CT 6433 / 634</t>
  </si>
  <si>
    <t>F01QGL01</t>
  </si>
  <si>
    <t>CT 1901 / 1709</t>
  </si>
  <si>
    <t>28/01/2020</t>
  </si>
  <si>
    <t>28/12/2025</t>
  </si>
  <si>
    <t>QCL14</t>
  </si>
  <si>
    <t>CRISTIANO RODRIGUES DA SILVA</t>
  </si>
  <si>
    <t>CT 3419 / 3755</t>
  </si>
  <si>
    <t>30/12/2025</t>
  </si>
  <si>
    <t>CT 3418 / 3645</t>
  </si>
  <si>
    <t>Q10L10</t>
  </si>
  <si>
    <t>Ednilson Alessandro dos Santos</t>
  </si>
  <si>
    <t>CT 4763 / 2755</t>
  </si>
  <si>
    <t>26/04/2023</t>
  </si>
  <si>
    <t>ELIZANDRA SIMON MATHEUS</t>
  </si>
  <si>
    <t>CT 3786 / 332</t>
  </si>
  <si>
    <t>06/12/2021</t>
  </si>
  <si>
    <t>Q36L18</t>
  </si>
  <si>
    <t>EURIPEDES ANTONIO DOS SANTOS</t>
  </si>
  <si>
    <t>CT CV185366723 / 6167</t>
  </si>
  <si>
    <t>FERNANDA CRISTINA DO NASCIMENTO PEREIRA</t>
  </si>
  <si>
    <t>CT CVABMAIS224277922 / 7300</t>
  </si>
  <si>
    <t>QLL01</t>
  </si>
  <si>
    <t>Germano Albieri PERES</t>
  </si>
  <si>
    <t>CT 5731 / 1255</t>
  </si>
  <si>
    <t>QIL23</t>
  </si>
  <si>
    <t>JADSON SILVA DO NASCIMENTO</t>
  </si>
  <si>
    <t>CT QUADRA I - 23 / 6933</t>
  </si>
  <si>
    <t>QIL24</t>
  </si>
  <si>
    <t>CT CV97457303 / 6932</t>
  </si>
  <si>
    <t>Q04L29</t>
  </si>
  <si>
    <t>Jonas Regatieri De Oliveira</t>
  </si>
  <si>
    <t>CT 6007 / 3077</t>
  </si>
  <si>
    <t>07/03/2024</t>
  </si>
  <si>
    <t>QZL02</t>
  </si>
  <si>
    <t>JOSE CLAUDINEI FUZARI</t>
  </si>
  <si>
    <t>CT CVABMAIS227037898 / 7408</t>
  </si>
  <si>
    <t>Q29L07</t>
  </si>
  <si>
    <t>JULIO CESAR DURANTE</t>
  </si>
  <si>
    <t>CT 7160 / 2971</t>
  </si>
  <si>
    <t>05/01/2026</t>
  </si>
  <si>
    <t>Q14L16</t>
  </si>
  <si>
    <t>LUIZ HENRIQUE DOS SANTOS</t>
  </si>
  <si>
    <t>CT 5367 / 2248</t>
  </si>
  <si>
    <t>15/06/2023</t>
  </si>
  <si>
    <t>31/12/2025</t>
  </si>
  <si>
    <t>Q24L12 A</t>
  </si>
  <si>
    <t>NAIS MARI SIAN</t>
  </si>
  <si>
    <t>CT CV191866821 / 6232</t>
  </si>
  <si>
    <t>NILTON DE SOUZA FILHO</t>
  </si>
  <si>
    <t>CT 6512 / 3330</t>
  </si>
  <si>
    <t>15/08/2024</t>
  </si>
  <si>
    <t>Q07L30</t>
  </si>
  <si>
    <t>CT 6511 / 2699</t>
  </si>
  <si>
    <t>Q08L34</t>
  </si>
  <si>
    <t>CT 5422 / 3131</t>
  </si>
  <si>
    <t>20/07/2023</t>
  </si>
  <si>
    <t>Q08L35</t>
  </si>
  <si>
    <t>CT 5423 / 3023</t>
  </si>
  <si>
    <t>Q20L27</t>
  </si>
  <si>
    <t>Rafael Andrade Dos Santos</t>
  </si>
  <si>
    <t>CT 5026 / 2296</t>
  </si>
  <si>
    <t>Q06L04</t>
  </si>
  <si>
    <t>Rafael Jackson Pereira dos Santos Gonçalves</t>
  </si>
  <si>
    <t>CT 6145 / 423</t>
  </si>
  <si>
    <t>QI1L03</t>
  </si>
  <si>
    <t>RODRIGO FAZIO</t>
  </si>
  <si>
    <t>CT CV204857005 / 6388</t>
  </si>
  <si>
    <t>Q26L21</t>
  </si>
  <si>
    <t>SAMUEL CAMPOS PINHEIRO</t>
  </si>
  <si>
    <t>CT 5668 / 2851</t>
  </si>
  <si>
    <t>21/11/2023</t>
  </si>
  <si>
    <t>Sandra Teixeira Ramiro da Silva</t>
  </si>
  <si>
    <t>CT 6667 / 916</t>
  </si>
  <si>
    <t>QJL41</t>
  </si>
  <si>
    <t>SHEIVA VANESSA CORREIA DE OLIVEIRA VILELA</t>
  </si>
  <si>
    <t>CT 6042 / 6518</t>
  </si>
  <si>
    <t>QHL19</t>
  </si>
  <si>
    <t>SIMONE ALVES BRASIL</t>
  </si>
  <si>
    <t>CT CV97017856 / 7556</t>
  </si>
  <si>
    <t xml:space="preserve">UBIWAY PARTICIPACOES E ADMINISTRACAO DE </t>
  </si>
  <si>
    <t>CT 5002 / 3101</t>
  </si>
  <si>
    <t>Q01L24</t>
  </si>
  <si>
    <t>WESLEY DA SILVA TINOCO</t>
  </si>
  <si>
    <t>CT 6162 / 710</t>
  </si>
  <si>
    <t>20/05/2024</t>
  </si>
  <si>
    <t>F01QIL33</t>
  </si>
  <si>
    <t>IZAIAS ALMEIDA BOMFIM</t>
  </si>
  <si>
    <t>CT 2561 / 2117</t>
  </si>
  <si>
    <t>01/08/2020</t>
  </si>
  <si>
    <t>F01QCL14</t>
  </si>
  <si>
    <t>JAQUELINE BRAZ GONÇALVES</t>
  </si>
  <si>
    <t>CT 1397 / 2138</t>
  </si>
  <si>
    <t>14/05/2019</t>
  </si>
  <si>
    <t>QAL08</t>
  </si>
  <si>
    <t>ANTONIO ANGELO SILVA DE MOURA</t>
  </si>
  <si>
    <t>CT 3723 / 987</t>
  </si>
  <si>
    <t>Q15L37</t>
  </si>
  <si>
    <t>Adelma Patrícia Moreira da Silva Campos</t>
  </si>
  <si>
    <t>CT 6691 / 548</t>
  </si>
  <si>
    <t>25/03/2025</t>
  </si>
  <si>
    <t>Q01L04</t>
  </si>
  <si>
    <t>Carlos Henrique Nogueira da Silva</t>
  </si>
  <si>
    <t>CT 6592 / 614</t>
  </si>
  <si>
    <t>Q01L01</t>
  </si>
  <si>
    <t>CARLOS JOSE COLAR DOS SANTOS</t>
  </si>
  <si>
    <t>CT 6410 / 554</t>
  </si>
  <si>
    <t>25/01/2025</t>
  </si>
  <si>
    <t>Q14L34</t>
  </si>
  <si>
    <t>Celio Siqueira de Lima Netto</t>
  </si>
  <si>
    <t>CT 6383 / 560</t>
  </si>
  <si>
    <t>QDL13</t>
  </si>
  <si>
    <t>CLAUDEMIR PINHEIRO DA ROCHA</t>
  </si>
  <si>
    <t>CT 3586 / 992</t>
  </si>
  <si>
    <t>Cleyton Manhães dos Santos</t>
  </si>
  <si>
    <t>CT 6618 / 677</t>
  </si>
  <si>
    <t>15/03/2025</t>
  </si>
  <si>
    <t>Q14L32</t>
  </si>
  <si>
    <t>Daniel da Silva Braga</t>
  </si>
  <si>
    <t>CT 6385 / 608</t>
  </si>
  <si>
    <t>19/07/2024</t>
  </si>
  <si>
    <t>Q15L20</t>
  </si>
  <si>
    <t>Daniel Gomes Salvador</t>
  </si>
  <si>
    <t>CT 6431 / 641</t>
  </si>
  <si>
    <t>10/01/2025</t>
  </si>
  <si>
    <t>Q16L29</t>
  </si>
  <si>
    <t>Danilo César Costa</t>
  </si>
  <si>
    <t>CT 6348 / 3305</t>
  </si>
  <si>
    <t>04/07/2024</t>
  </si>
  <si>
    <t>25/02/2025</t>
  </si>
  <si>
    <t>Q07L07</t>
  </si>
  <si>
    <t>DIEGO PAES DA SILVA SOUZA</t>
  </si>
  <si>
    <t>CT 5207 / 566</t>
  </si>
  <si>
    <t>15/10/2024</t>
  </si>
  <si>
    <t>QHL20</t>
  </si>
  <si>
    <t>EDICARLOS NASCIMENTO DE AQUINO</t>
  </si>
  <si>
    <t>CT 3464 / 4610</t>
  </si>
  <si>
    <t>30/07/2024</t>
  </si>
  <si>
    <t>Q20L14</t>
  </si>
  <si>
    <t>ELISÂNGELA BATISTA DA CONCEIÇÃO</t>
  </si>
  <si>
    <t>CT 6765 / 538</t>
  </si>
  <si>
    <t>Q20L16</t>
  </si>
  <si>
    <t>CT 6764 / 514</t>
  </si>
  <si>
    <t>F01QIL08</t>
  </si>
  <si>
    <t>FLAVIO RIBEIRO BARBOSA</t>
  </si>
  <si>
    <t>CT 2746 / 1972</t>
  </si>
  <si>
    <t>30/09/2022</t>
  </si>
  <si>
    <t>F01QKL07</t>
  </si>
  <si>
    <t>FRANCISCO FELIPE AIRES NETO</t>
  </si>
  <si>
    <t>CT 6693 / 1701</t>
  </si>
  <si>
    <t>30/09/2024</t>
  </si>
  <si>
    <t>20/11/2024</t>
  </si>
  <si>
    <t>G-STOCK INDUSTRIA E COMERCIO DE CALÇADOS</t>
  </si>
  <si>
    <t>CT 5428 / 2260</t>
  </si>
  <si>
    <t>30/03/2025</t>
  </si>
  <si>
    <t>QDL27</t>
  </si>
  <si>
    <t>GUILHERME HENRIQUE DA SILVA</t>
  </si>
  <si>
    <t>CT 6428 / 3626</t>
  </si>
  <si>
    <t>18/07/2024</t>
  </si>
  <si>
    <t>QDL26</t>
  </si>
  <si>
    <t>CT 6193 / 3667</t>
  </si>
  <si>
    <t>Q14L23</t>
  </si>
  <si>
    <t>Hadrio Flavio da Silva Martins</t>
  </si>
  <si>
    <t>CT 6444 / 639</t>
  </si>
  <si>
    <t>29/07/2024</t>
  </si>
  <si>
    <t>F01QQL07</t>
  </si>
  <si>
    <t>JHONATHAN HENRIQUE CANDIDO SILVA</t>
  </si>
  <si>
    <t>CT 6601 / 1431</t>
  </si>
  <si>
    <t>QFL15</t>
  </si>
  <si>
    <t>Jorge Gomes da Silva</t>
  </si>
  <si>
    <t>CT 6917 / 791</t>
  </si>
  <si>
    <t>10/03/2025</t>
  </si>
  <si>
    <t>QGL17</t>
  </si>
  <si>
    <t>JOSE AMILTON MACHADO SETUBAL</t>
  </si>
  <si>
    <t>CT 2568 / 4605</t>
  </si>
  <si>
    <t>25/03/2022</t>
  </si>
  <si>
    <t>Q05L35</t>
  </si>
  <si>
    <t>José Antônio Gomes da Silva Filho</t>
  </si>
  <si>
    <t>CT 6812 / 2453</t>
  </si>
  <si>
    <t>Q05L20</t>
  </si>
  <si>
    <t>Josias José da silva</t>
  </si>
  <si>
    <t>CT 6171 / 455</t>
  </si>
  <si>
    <t>Q05L19</t>
  </si>
  <si>
    <t>CT 6173 / 497</t>
  </si>
  <si>
    <t>Q10L01</t>
  </si>
  <si>
    <t>CT 6172 / 654</t>
  </si>
  <si>
    <t>Q08L08</t>
  </si>
  <si>
    <t>Julio Cesar Marques</t>
  </si>
  <si>
    <t>CT 6116 / 643</t>
  </si>
  <si>
    <t>30/04/2024</t>
  </si>
  <si>
    <t>Q07L21</t>
  </si>
  <si>
    <t>Leandro Rodrigues Gomes</t>
  </si>
  <si>
    <t>CT 6022 / 457</t>
  </si>
  <si>
    <t>20/03/2024</t>
  </si>
  <si>
    <t>20/09/2024</t>
  </si>
  <si>
    <t>F01QRL12</t>
  </si>
  <si>
    <t>LEOMAR DA CRUZ SILVA</t>
  </si>
  <si>
    <t>CT 3549 / 2049</t>
  </si>
  <si>
    <t>05/08/2022</t>
  </si>
  <si>
    <t>F01QRL13</t>
  </si>
  <si>
    <t>CT 3550 / 1933</t>
  </si>
  <si>
    <t>QAL24</t>
  </si>
  <si>
    <t>LETICIA DA SILVA MATIAS RODRIGUES</t>
  </si>
  <si>
    <t>CT 7040 / 1064</t>
  </si>
  <si>
    <t>10/04/2025</t>
  </si>
  <si>
    <t>Q15L23</t>
  </si>
  <si>
    <t>Letízia Rodrigues de Oliveira</t>
  </si>
  <si>
    <t>CT 6697 / 2432</t>
  </si>
  <si>
    <t>02/10/2024</t>
  </si>
  <si>
    <t>QFL11</t>
  </si>
  <si>
    <t>Luciane Aparecida Rosa Garrido Perez</t>
  </si>
  <si>
    <t>CT 6689 / 1231</t>
  </si>
  <si>
    <t>Q14L10</t>
  </si>
  <si>
    <t>Luis Fernando de Souza Figueiredo</t>
  </si>
  <si>
    <t>CT 6432 / 462</t>
  </si>
  <si>
    <t>Q12L25</t>
  </si>
  <si>
    <t>Luis Ricardo Freitas Gomes de Souza</t>
  </si>
  <si>
    <t>CT 6095 / 596</t>
  </si>
  <si>
    <t>26/04/2024</t>
  </si>
  <si>
    <t>15/12/2024</t>
  </si>
  <si>
    <t>Q14L33</t>
  </si>
  <si>
    <t>Luiz Claudio Moraes da Silva</t>
  </si>
  <si>
    <t>CT 6564 / 520</t>
  </si>
  <si>
    <t>Q38L20</t>
  </si>
  <si>
    <t>MAIC VIOTO DO NASCIMENTO</t>
  </si>
  <si>
    <t>CT 6686 / 2343</t>
  </si>
  <si>
    <t>Q06L14</t>
  </si>
  <si>
    <t>Manoel Luiz de Oliveira</t>
  </si>
  <si>
    <t>CT 6072 / 428</t>
  </si>
  <si>
    <t>11/04/2024</t>
  </si>
  <si>
    <t>Q24L01</t>
  </si>
  <si>
    <t>Maria José da Silva</t>
  </si>
  <si>
    <t>CT 6813 / 2530</t>
  </si>
  <si>
    <t>F01QQL25</t>
  </si>
  <si>
    <t>MICHEL SAMEZINA DE ANDRADE</t>
  </si>
  <si>
    <t>CT 4068 / 1817</t>
  </si>
  <si>
    <t>05/01/2023</t>
  </si>
  <si>
    <t>Q06L13</t>
  </si>
  <si>
    <t>Nycolas Cabral Machado da Anunciação</t>
  </si>
  <si>
    <t>CT 6198 / 725</t>
  </si>
  <si>
    <t>20/12/2024</t>
  </si>
  <si>
    <t>Q34L20</t>
  </si>
  <si>
    <t>PERCIVAL FERREIRA DA SILVA FILHO</t>
  </si>
  <si>
    <t>CT 6927 / 2494</t>
  </si>
  <si>
    <t>14/12/2024</t>
  </si>
  <si>
    <t>Q24L03</t>
  </si>
  <si>
    <t>PRISCILA CRISTINA DOS SANTOS REIS BASILIO</t>
  </si>
  <si>
    <t>CT 6804 / 590</t>
  </si>
  <si>
    <t>05/01/2025</t>
  </si>
  <si>
    <t>Q04L22</t>
  </si>
  <si>
    <t>RAMONA MARVILA DE ALBUQUERQUE</t>
  </si>
  <si>
    <t>CT 6328 / 418</t>
  </si>
  <si>
    <t>29/06/2024</t>
  </si>
  <si>
    <t>Q12L30</t>
  </si>
  <si>
    <t>RAPHAEL DOS SANTOS CHAGAS</t>
  </si>
  <si>
    <t>CT 6147 / 508</t>
  </si>
  <si>
    <t>15/11/2024</t>
  </si>
  <si>
    <t>Q14L07</t>
  </si>
  <si>
    <t>RENATA CHRISTINA MIRANDA BARRETO</t>
  </si>
  <si>
    <t>CT 6416 / 691</t>
  </si>
  <si>
    <t>QLL11</t>
  </si>
  <si>
    <t>ROBINSON FERNANDES XAVIER</t>
  </si>
  <si>
    <t>CT 5973 / 1327</t>
  </si>
  <si>
    <t>16/02/2024</t>
  </si>
  <si>
    <t>QLL12</t>
  </si>
  <si>
    <t>CT 5974 / 1185</t>
  </si>
  <si>
    <t>Q10L04</t>
  </si>
  <si>
    <t>SUSANA ABNER SOUZA SILVA</t>
  </si>
  <si>
    <t>CT 6137 / 2902</t>
  </si>
  <si>
    <t>10/05/2024</t>
  </si>
  <si>
    <t>THIAGO HENRIQUE LEITE DOS SANTOS</t>
  </si>
  <si>
    <t>CT 5943 / 2233</t>
  </si>
  <si>
    <t>07/02/2024</t>
  </si>
  <si>
    <t>15/02/2025</t>
  </si>
  <si>
    <t>Thiago Nascimento Marcelino</t>
  </si>
  <si>
    <t>CT 6613 / 1195</t>
  </si>
  <si>
    <t>12/09/2024</t>
  </si>
  <si>
    <t>WALLACE PEIXOTO DE SOUZA</t>
  </si>
  <si>
    <t>CT 6526 / 718</t>
  </si>
  <si>
    <t>CT 6525 / 673</t>
  </si>
  <si>
    <t>Q03L20</t>
  </si>
  <si>
    <t>WALLANS CELESTINO VIEIRA JUNIOR</t>
  </si>
  <si>
    <t>CT 6043 / 728</t>
  </si>
  <si>
    <t>30/03/2024</t>
  </si>
  <si>
    <t>Q22L19</t>
  </si>
  <si>
    <t>WELLINGTON FERREIRA COSTA</t>
  </si>
  <si>
    <t>CT 6485 / 3170</t>
  </si>
  <si>
    <t>ALZIRO APARECIDO LADEIRA</t>
  </si>
  <si>
    <t>CT 4034 / 3729</t>
  </si>
  <si>
    <t>18/02/2022</t>
  </si>
  <si>
    <t>QHL40</t>
  </si>
  <si>
    <t>EDUARDO CAETANO DOS SANTOS</t>
  </si>
  <si>
    <t>CT 5648 / 982</t>
  </si>
  <si>
    <t>01/11/2023</t>
  </si>
  <si>
    <t>Q25L16</t>
  </si>
  <si>
    <t>ELISON FERNANDO FREITAS</t>
  </si>
  <si>
    <t>CT 5604 / 2212</t>
  </si>
  <si>
    <t>20/10/2023</t>
  </si>
  <si>
    <t>25/05/2024</t>
  </si>
  <si>
    <t>Q16L33</t>
  </si>
  <si>
    <t>Fatima de Lourdes Junqueira Fernandes</t>
  </si>
  <si>
    <t>CT 6349 / 2758</t>
  </si>
  <si>
    <t>02/07/2024</t>
  </si>
  <si>
    <t>Q02L17</t>
  </si>
  <si>
    <t>Franciele Tomaz Modesto Faria</t>
  </si>
  <si>
    <t>CT 5878 / 2357</t>
  </si>
  <si>
    <t>19/01/2024</t>
  </si>
  <si>
    <t>Q18L10</t>
  </si>
  <si>
    <t>Guilherme Bolela Rodrigues</t>
  </si>
  <si>
    <t>CT 4879 / 2468</t>
  </si>
  <si>
    <t>15/04/2023</t>
  </si>
  <si>
    <t>25/10/2023</t>
  </si>
  <si>
    <t>Miguel Cardoso</t>
  </si>
  <si>
    <t>CT 6655 / 779</t>
  </si>
  <si>
    <t>31/12/2024</t>
  </si>
  <si>
    <t>Q09L28</t>
  </si>
  <si>
    <t>NAJARA JOANA DE OLIVEIRA E SILVA</t>
  </si>
  <si>
    <t>CT 5193 / 2915</t>
  </si>
  <si>
    <t>01/06/2023</t>
  </si>
  <si>
    <t>Reginaldo Gomes</t>
  </si>
  <si>
    <t>CT 5684 / 2467</t>
  </si>
  <si>
    <t>16/11/2023</t>
  </si>
  <si>
    <t>25/06/2024</t>
  </si>
  <si>
    <t>Q15L22</t>
  </si>
  <si>
    <t>Thiago Barbosa de Souza</t>
  </si>
  <si>
    <t>CT 6413 / 2805</t>
  </si>
  <si>
    <t>QDL10</t>
  </si>
  <si>
    <t>ADRIANO RAMOS DE SOUZA</t>
  </si>
  <si>
    <t>CT 3588 / 838</t>
  </si>
  <si>
    <t>30/05/2023</t>
  </si>
  <si>
    <t>ALEXANDRE MORAIS CANTERO</t>
  </si>
  <si>
    <t>CT 4240 / 297</t>
  </si>
  <si>
    <t>22/09/2024</t>
  </si>
  <si>
    <t>QDL09</t>
  </si>
  <si>
    <t>ALISSON CESAR CAPATTO</t>
  </si>
  <si>
    <t>CT 4118 / 1280</t>
  </si>
  <si>
    <t>28/02/2025</t>
  </si>
  <si>
    <t>Q40L22</t>
  </si>
  <si>
    <t>C&amp;amp;T COMÉRCIO E INDÚSTRIA DE BATERIAS</t>
  </si>
  <si>
    <t>CT 6138 / 2460</t>
  </si>
  <si>
    <t>Q40L23</t>
  </si>
  <si>
    <t>CT 6146 / 3179</t>
  </si>
  <si>
    <t>CARLOS ALBERTO SILVA NETO</t>
  </si>
  <si>
    <t>CT 5366 / 2499</t>
  </si>
  <si>
    <t>20/05/2023</t>
  </si>
  <si>
    <t>QGL02</t>
  </si>
  <si>
    <t>CARLOS EDUARDO DA SILVA</t>
  </si>
  <si>
    <t>CT 1802 / 6636</t>
  </si>
  <si>
    <t>10/09/2022</t>
  </si>
  <si>
    <t>Q19L14</t>
  </si>
  <si>
    <t>CARLOS HENRIQUE VERONEZ SILVA</t>
  </si>
  <si>
    <t>CT 5409 / 2985</t>
  </si>
  <si>
    <t>10/07/2023</t>
  </si>
  <si>
    <t>Q19L21</t>
  </si>
  <si>
    <t>CT 5410 / 2644</t>
  </si>
  <si>
    <t>19/07/2023</t>
  </si>
  <si>
    <t>F01QPL09</t>
  </si>
  <si>
    <t>CARLOS SANCHES BAENA</t>
  </si>
  <si>
    <t>CT 801 / 1836</t>
  </si>
  <si>
    <t>01/03/2018</t>
  </si>
  <si>
    <t>28/02/2022</t>
  </si>
  <si>
    <t>F01QNL20</t>
  </si>
  <si>
    <t>CT 1015 / 1497</t>
  </si>
  <si>
    <t>08/07/2018</t>
  </si>
  <si>
    <t>30/05/2021</t>
  </si>
  <si>
    <t>F01QKL14</t>
  </si>
  <si>
    <t>DIEGO APARECIDO DOMINGUES</t>
  </si>
  <si>
    <t>CT 1913 / 1502</t>
  </si>
  <si>
    <t>23/03/2020</t>
  </si>
  <si>
    <t>F01QNL09</t>
  </si>
  <si>
    <t>EDSON RIBEIRO DE SOUZA</t>
  </si>
  <si>
    <t>CT 1508 / 1830</t>
  </si>
  <si>
    <t>20/08/2019</t>
  </si>
  <si>
    <t>Q09L01</t>
  </si>
  <si>
    <t>ELIANA ULISSES PROCÓPIO GUERREIRO</t>
  </si>
  <si>
    <t>CT 5146 / 3313</t>
  </si>
  <si>
    <t>CT 3787 / 251</t>
  </si>
  <si>
    <t>Q02L16</t>
  </si>
  <si>
    <t>CT 5879 / 2802</t>
  </si>
  <si>
    <t>QNL12</t>
  </si>
  <si>
    <t>GILMAR BERNARDINO DE SOUZA</t>
  </si>
  <si>
    <t>CT 4158 / 1285</t>
  </si>
  <si>
    <t>QAL03</t>
  </si>
  <si>
    <t>GIVANILDO SANTOS DE SOUZA</t>
  </si>
  <si>
    <t>CT 2501 / 6535</t>
  </si>
  <si>
    <t>25/07/2020</t>
  </si>
  <si>
    <t>QAL38</t>
  </si>
  <si>
    <t>HERIK STANISLAU LOPES DE MORAES</t>
  </si>
  <si>
    <t>CT 987 / 3704</t>
  </si>
  <si>
    <t>02/07/2018</t>
  </si>
  <si>
    <t>10/02/2022</t>
  </si>
  <si>
    <t>QIL25</t>
  </si>
  <si>
    <t>JADER SOARES DIAS DO NASCIMENTO</t>
  </si>
  <si>
    <t>CT 1223 / 6572</t>
  </si>
  <si>
    <t>08/01/2019</t>
  </si>
  <si>
    <t>F01QGL45</t>
  </si>
  <si>
    <t>JEREMIAS MARQUES RIBEIRO JUNIOR</t>
  </si>
  <si>
    <t>CT 3089 / 1569</t>
  </si>
  <si>
    <t>JOÃO SANDER</t>
  </si>
  <si>
    <t>CT 2929 / 6451</t>
  </si>
  <si>
    <t>26/11/2020</t>
  </si>
  <si>
    <t>27/03/2022</t>
  </si>
  <si>
    <t>QIL07</t>
  </si>
  <si>
    <t>JOSE CATARINO SALVADOR</t>
  </si>
  <si>
    <t>CT 1578 / 6578</t>
  </si>
  <si>
    <t>13/09/2019</t>
  </si>
  <si>
    <t>30/06/2023</t>
  </si>
  <si>
    <t>F02QBL20</t>
  </si>
  <si>
    <t>JOSE FRANCISCO DA SILVA</t>
  </si>
  <si>
    <t>CT 1766 / 1641</t>
  </si>
  <si>
    <t>QFL04</t>
  </si>
  <si>
    <t>JÚLIA APARECIDA DE SOUZA TIMOTEO</t>
  </si>
  <si>
    <t>CT 1197 / 6623</t>
  </si>
  <si>
    <t>07/12/2018</t>
  </si>
  <si>
    <t>20/10/2024</t>
  </si>
  <si>
    <t>JULIANA KELLY DO CARMO SECCO DOS SANTOS</t>
  </si>
  <si>
    <t>CT 3039 / 6614</t>
  </si>
  <si>
    <t>F01QQL26</t>
  </si>
  <si>
    <t>JUSSEMAR APARECIDO SANTANA</t>
  </si>
  <si>
    <t>CT 229 / 1936</t>
  </si>
  <si>
    <t>09/04/2017</t>
  </si>
  <si>
    <t>20/01/2022</t>
  </si>
  <si>
    <t>Q11L28</t>
  </si>
  <si>
    <t>CT 4991 / 2871</t>
  </si>
  <si>
    <t>QGL43</t>
  </si>
  <si>
    <t>LUCIANO ALVES DA SILVA</t>
  </si>
  <si>
    <t>CT 3353 / 6480</t>
  </si>
  <si>
    <t>13/07/2021</t>
  </si>
  <si>
    <t>Q02L08</t>
  </si>
  <si>
    <t>LUCIO RODRIGUES NETO</t>
  </si>
  <si>
    <t>CT 4200 / 286</t>
  </si>
  <si>
    <t>CT 4201 / 225</t>
  </si>
  <si>
    <t>14/04/2025</t>
  </si>
  <si>
    <t>F01QHL67</t>
  </si>
  <si>
    <t>MARIA APARECIDA DA SILVA</t>
  </si>
  <si>
    <t>CT 3049 / 1588</t>
  </si>
  <si>
    <t>QNL06</t>
  </si>
  <si>
    <t>MARIA DA GLÓRIA DUARTE LINS</t>
  </si>
  <si>
    <t>CT 4637 / 1194</t>
  </si>
  <si>
    <t>01/04/2023</t>
  </si>
  <si>
    <t>Q05L10</t>
  </si>
  <si>
    <t>MARILENE DE LIMA FABIANO BATISTA</t>
  </si>
  <si>
    <t>CT 5178 / 499</t>
  </si>
  <si>
    <t>Q05L25</t>
  </si>
  <si>
    <t>MAURO MORANDE</t>
  </si>
  <si>
    <t>CT 3737 / 333</t>
  </si>
  <si>
    <t>28/09/2024</t>
  </si>
  <si>
    <t>Q05L26</t>
  </si>
  <si>
    <t>CT 3738 / 269</t>
  </si>
  <si>
    <t>QEL03</t>
  </si>
  <si>
    <t>ODAIR DO NASCIMENTO JUNIOR</t>
  </si>
  <si>
    <t>CT 2980 / 877</t>
  </si>
  <si>
    <t>20/04/2022</t>
  </si>
  <si>
    <t>Q08L06</t>
  </si>
  <si>
    <t>PATRICIA ANDRÉ EVANGELISTA GUSMÃO</t>
  </si>
  <si>
    <t>CT 5506 / 2995</t>
  </si>
  <si>
    <t>23/08/2023</t>
  </si>
  <si>
    <t>Q27L02</t>
  </si>
  <si>
    <t>CT 5486 / 2506</t>
  </si>
  <si>
    <t>Q22L08</t>
  </si>
  <si>
    <t>PRISCILA DE OLIVEIRA CARLONI</t>
  </si>
  <si>
    <t>CT 5224 / 3043</t>
  </si>
  <si>
    <t>07/06/2023</t>
  </si>
  <si>
    <t>Q06L25</t>
  </si>
  <si>
    <t>RENAN GONCALVES DUEK</t>
  </si>
  <si>
    <t>CT 3790 / 334</t>
  </si>
  <si>
    <t>06/08/2024</t>
  </si>
  <si>
    <t>QLL02</t>
  </si>
  <si>
    <t>Renato De Brito Bueno</t>
  </si>
  <si>
    <t>CT 1929 / 3401</t>
  </si>
  <si>
    <t>27/03/2020</t>
  </si>
  <si>
    <t>QCL13</t>
  </si>
  <si>
    <t>RICARDO FARIAS DA FONSECA</t>
  </si>
  <si>
    <t>CT 4410 / 1289</t>
  </si>
  <si>
    <t>20/10/2022</t>
  </si>
  <si>
    <t>QPL22</t>
  </si>
  <si>
    <t>ROBERTO RODRIGUES FERREIRA</t>
  </si>
  <si>
    <t>CT 3018 / 6425</t>
  </si>
  <si>
    <t>11/01/2021</t>
  </si>
  <si>
    <t>30/08/2023</t>
  </si>
  <si>
    <t>QFL09</t>
  </si>
  <si>
    <t>SERGIO LUIS RIBEIRO MACHADO</t>
  </si>
  <si>
    <t>CT 3068 / 1010</t>
  </si>
  <si>
    <t>20/02/2025</t>
  </si>
  <si>
    <t>Q10L08</t>
  </si>
  <si>
    <t>Silvia Morales de Oliveira</t>
  </si>
  <si>
    <t>CT 5470 / 2666</t>
  </si>
  <si>
    <t>05/04/2025</t>
  </si>
  <si>
    <t>QOL24</t>
  </si>
  <si>
    <t>THALYTA APARECIDA SILVA RODRIGUES</t>
  </si>
  <si>
    <t>CT 5157 / 1345</t>
  </si>
  <si>
    <t>19/05/2023</t>
  </si>
  <si>
    <t>THIAGO DANTAS DE OLIVEIRA LIMA</t>
  </si>
  <si>
    <t>CT 4375 / 264</t>
  </si>
  <si>
    <t>Q06L21</t>
  </si>
  <si>
    <t>TONY RAMOS</t>
  </si>
  <si>
    <t>CT 5264 / 3207</t>
  </si>
  <si>
    <t>25/08/2024</t>
  </si>
  <si>
    <t>F01QHL41</t>
  </si>
  <si>
    <t>UBIRATAN CATARINI PALMA</t>
  </si>
  <si>
    <t>CT 198 / 2046</t>
  </si>
  <si>
    <t>11/04/2025</t>
  </si>
  <si>
    <t>QFL06</t>
  </si>
  <si>
    <t>VALQUIRIA CRISTINE FURTUNATO SANTANA</t>
  </si>
  <si>
    <t>CT 2886 / 932</t>
  </si>
  <si>
    <t>QML14</t>
  </si>
  <si>
    <t>ADRIANA FERNANDES NASCIMENTO DA SILVA</t>
  </si>
  <si>
    <t>CT 3134 / 6426</t>
  </si>
  <si>
    <t>F01QFL32</t>
  </si>
  <si>
    <t>ANA CAROLINE PEREIRA TORRES ALMEIDA</t>
  </si>
  <si>
    <t>CT 3058 / 1468</t>
  </si>
  <si>
    <t>25/12/2021</t>
  </si>
  <si>
    <t>ANDREIA APARECIDA DA SILVA</t>
  </si>
  <si>
    <t>CT 4402 / 1170</t>
  </si>
  <si>
    <t>19/10/2022</t>
  </si>
  <si>
    <t>F01QEL03</t>
  </si>
  <si>
    <t>CAMILA PAES TOLEDO RANGEL</t>
  </si>
  <si>
    <t>CT 1100 / 1814</t>
  </si>
  <si>
    <t>01/10/2018</t>
  </si>
  <si>
    <t>25/01/2022</t>
  </si>
  <si>
    <t>F01QEL04</t>
  </si>
  <si>
    <t>CT 1103 / 1799</t>
  </si>
  <si>
    <t>QEL15</t>
  </si>
  <si>
    <t>CRISTIAN BARBOSA GOMES</t>
  </si>
  <si>
    <t>CT 3347 / 4633</t>
  </si>
  <si>
    <t>15/04/2022</t>
  </si>
  <si>
    <t>EDNALDA LEITE ALVES MONTEIRO</t>
  </si>
  <si>
    <t>CT 3371 / 4590</t>
  </si>
  <si>
    <t>05/09/2022</t>
  </si>
  <si>
    <t>F01QML36</t>
  </si>
  <si>
    <t>ELIANE OZORIO DA SILVA</t>
  </si>
  <si>
    <t>CT 2295 / 1924</t>
  </si>
  <si>
    <t>25/07/2023</t>
  </si>
  <si>
    <t>QIL16</t>
  </si>
  <si>
    <t>ERIKA VANESSA DOS SANTOS</t>
  </si>
  <si>
    <t>CT 1117 / 6479</t>
  </si>
  <si>
    <t>02/10/2018</t>
  </si>
  <si>
    <t>20/12/2022</t>
  </si>
  <si>
    <t>QCL40</t>
  </si>
  <si>
    <t>ERON RODRIGUES DE SOUSA</t>
  </si>
  <si>
    <t>CT 2712 / 1145</t>
  </si>
  <si>
    <t>30/08/2020</t>
  </si>
  <si>
    <t>F01QML25</t>
  </si>
  <si>
    <t>FABIO AMORIM DA SILVA LIMA</t>
  </si>
  <si>
    <t>CT 2060 / 2020</t>
  </si>
  <si>
    <t>Flavio De Oliveira Jancowski</t>
  </si>
  <si>
    <t>CT 2144 / 3464</t>
  </si>
  <si>
    <t>17/06/2020</t>
  </si>
  <si>
    <t>FRANCISCO DE ASSIS COSTA</t>
  </si>
  <si>
    <t>CT 1995 / 4613</t>
  </si>
  <si>
    <t>30/04/2020</t>
  </si>
  <si>
    <t>15/07/2022</t>
  </si>
  <si>
    <t>GERALDO DE ALMEIDA CARNEIRO</t>
  </si>
  <si>
    <t>CT 3942 / 612</t>
  </si>
  <si>
    <t>15/02/2023</t>
  </si>
  <si>
    <t>F01QNL06</t>
  </si>
  <si>
    <t>HENRIQUE CLEMENTE DE OLIVEIRA</t>
  </si>
  <si>
    <t>CT 3307 / 1486</t>
  </si>
  <si>
    <t>20/09/2023</t>
  </si>
  <si>
    <t>Q12L16</t>
  </si>
  <si>
    <t>IVAN LEITÃO MACHADO DA COSTA</t>
  </si>
  <si>
    <t>CT 5703 / 477</t>
  </si>
  <si>
    <t>08/12/2023</t>
  </si>
  <si>
    <t>F01QFL28</t>
  </si>
  <si>
    <t>JEAN PAUL DE MIRANDA MARCOLINO</t>
  </si>
  <si>
    <t>CT 1932 / 1993</t>
  </si>
  <si>
    <t>31/03/2020</t>
  </si>
  <si>
    <t>QDL19</t>
  </si>
  <si>
    <t>JOELMA TAVARES MATOS</t>
  </si>
  <si>
    <t>CT 2918 / 4615</t>
  </si>
  <si>
    <t>18/11/2020</t>
  </si>
  <si>
    <t>JORGE MOURA SERRA JUNIOR</t>
  </si>
  <si>
    <t>CT 3317 / 4528</t>
  </si>
  <si>
    <t>10/03/2023</t>
  </si>
  <si>
    <t>Q09L10</t>
  </si>
  <si>
    <t>JOSÉ LUCIANO PEIXOTO PAVONI</t>
  </si>
  <si>
    <t>CT 5521 / 650</t>
  </si>
  <si>
    <t>01/09/2023</t>
  </si>
  <si>
    <t>JOSÉ LUIZ CASANOVA</t>
  </si>
  <si>
    <t>CT 3825 / 329</t>
  </si>
  <si>
    <t>09/12/2024</t>
  </si>
  <si>
    <t>Q05L21</t>
  </si>
  <si>
    <t>CT 3824 / 337</t>
  </si>
  <si>
    <t>Q06L11</t>
  </si>
  <si>
    <t>Lucia Helena Marques</t>
  </si>
  <si>
    <t>CT 5984 / 635</t>
  </si>
  <si>
    <t>27/02/2024</t>
  </si>
  <si>
    <t>10/06/2024</t>
  </si>
  <si>
    <t>F01QLL08</t>
  </si>
  <si>
    <t>MARCIA CRISTINA DE GOUVEIA</t>
  </si>
  <si>
    <t>CT 2154 / 1440</t>
  </si>
  <si>
    <t>F01QHL07</t>
  </si>
  <si>
    <t>MARCOS ROBERTO BONON</t>
  </si>
  <si>
    <t>CT 376 / 1759</t>
  </si>
  <si>
    <t>28/02/2019</t>
  </si>
  <si>
    <t>F01QHL06</t>
  </si>
  <si>
    <t>CT 429 / 1691</t>
  </si>
  <si>
    <t>30/10/2018</t>
  </si>
  <si>
    <t>MONICA MARIA DO CARMO ALBUQUERQUE DOS SANTOS</t>
  </si>
  <si>
    <t>CT 1829 / 4510</t>
  </si>
  <si>
    <t>01/02/2020</t>
  </si>
  <si>
    <t>22/02/2024</t>
  </si>
  <si>
    <t>F01QLL21</t>
  </si>
  <si>
    <t>RAFAELA VIEIRA ARAGÃO</t>
  </si>
  <si>
    <t>CT 631 / 1592</t>
  </si>
  <si>
    <t>17/11/2017</t>
  </si>
  <si>
    <t>28/05/2022</t>
  </si>
  <si>
    <t>RAMON SANTOS COUTINHO</t>
  </si>
  <si>
    <t>CT 3858 / 911</t>
  </si>
  <si>
    <t>15/12/2021</t>
  </si>
  <si>
    <t>30/04/2023</t>
  </si>
  <si>
    <t>ROSANA SILVA PEREIRA CANTERO</t>
  </si>
  <si>
    <t>CT 3802 / 294</t>
  </si>
  <si>
    <t>09/03/2024</t>
  </si>
  <si>
    <t>Q03L08</t>
  </si>
  <si>
    <t>CT 3801 / 346</t>
  </si>
  <si>
    <t>QCL30</t>
  </si>
  <si>
    <t>ROSEANE PORFIRIO DE SOUZA</t>
  </si>
  <si>
    <t>CT 2224 / 4562</t>
  </si>
  <si>
    <t>ROSIVALDO APARECIDO BISPO</t>
  </si>
  <si>
    <t>CT 3693 / 975</t>
  </si>
  <si>
    <t>24/11/2021</t>
  </si>
  <si>
    <t>10/08/2022</t>
  </si>
  <si>
    <t>QJL60</t>
  </si>
  <si>
    <t>TAIS VERISSIMO DA SILVA</t>
  </si>
  <si>
    <t>CT 2785 / 6596</t>
  </si>
  <si>
    <t>29/09/2020</t>
  </si>
  <si>
    <t>F01QQL24</t>
  </si>
  <si>
    <t>TATIANA OLIVEIRA CAMPOS DA SILVA</t>
  </si>
  <si>
    <t>CT 3005 / 1421</t>
  </si>
  <si>
    <t>20/04/2024</t>
  </si>
  <si>
    <t>F01QJL07</t>
  </si>
  <si>
    <t>CT 2073 / 1558</t>
  </si>
  <si>
    <t>30/05/2020</t>
  </si>
  <si>
    <t>VALDEMIR DE LIMA</t>
  </si>
  <si>
    <t>CT 3002 / 922</t>
  </si>
  <si>
    <t>20/12/2023</t>
  </si>
  <si>
    <t>CT 2139 / 4550</t>
  </si>
  <si>
    <t>20/04/2025</t>
  </si>
  <si>
    <t>F01QLL29</t>
  </si>
  <si>
    <t>VANESSA ARAUJO TERENZI</t>
  </si>
  <si>
    <t>CT 757 / 1762</t>
  </si>
  <si>
    <t>19/01/2018</t>
  </si>
  <si>
    <t>Q07L20</t>
  </si>
  <si>
    <t>VICTOR DE ALMEIDA PINHEIRO</t>
  </si>
  <si>
    <t>CT 3901 / 690</t>
  </si>
  <si>
    <t>Q08L23</t>
  </si>
  <si>
    <t>Viviane Gomes Melchiades</t>
  </si>
  <si>
    <t>CT 5125 / 682</t>
  </si>
  <si>
    <t>30/05/2024</t>
  </si>
  <si>
    <t>QFL12</t>
  </si>
  <si>
    <t>WANDERSON CRISTOVÃO SOUZA DE ALMEIDA</t>
  </si>
  <si>
    <t>CT 1621 / 4583</t>
  </si>
  <si>
    <t>15/10/2019</t>
  </si>
  <si>
    <t>WARISSON PEREIRA OLIVEIRA</t>
  </si>
  <si>
    <t>CT 3196 / 4568</t>
  </si>
  <si>
    <t>QEL22</t>
  </si>
  <si>
    <t>WARLEY RAFAEL SILVEIRA TEIXEIRA</t>
  </si>
  <si>
    <t>CT 2076 / 4595</t>
  </si>
  <si>
    <t>F01QLL19</t>
  </si>
  <si>
    <t>WELLINGTON DE SOUSA LIMA</t>
  </si>
  <si>
    <t>CT 3425 / 1418</t>
  </si>
  <si>
    <t>05/08/2021</t>
  </si>
  <si>
    <t>WILLIAMY ALBUQUERQUE DOS SANTOS</t>
  </si>
  <si>
    <t>CT 1586 / 4628</t>
  </si>
  <si>
    <t>01/02/2017</t>
  </si>
  <si>
    <t>15/05/2022</t>
  </si>
  <si>
    <t>QGL15</t>
  </si>
  <si>
    <t>WILSON LIMA BASTOS</t>
  </si>
  <si>
    <t>CT 2425 / 4485</t>
  </si>
  <si>
    <t>14/07/2020</t>
  </si>
  <si>
    <t>10/06/2022</t>
  </si>
  <si>
    <t>ADRIANA SOARES DE AZEREDO</t>
  </si>
  <si>
    <t>CT 5686 / 653</t>
  </si>
  <si>
    <t>25/11/2023</t>
  </si>
  <si>
    <t>ALESSANDRA DE NAZARE LIMA DA SILVA DE OLIVEIRA</t>
  </si>
  <si>
    <t>CT 3052 / 4656</t>
  </si>
  <si>
    <t>10/11/2022</t>
  </si>
  <si>
    <t>QEL09</t>
  </si>
  <si>
    <t>CT 3081 / 4575</t>
  </si>
  <si>
    <t>10/11/2021</t>
  </si>
  <si>
    <t>F01QIL35</t>
  </si>
  <si>
    <t>AMANDA CHRISTINA DOS REIS TEIXEIRA</t>
  </si>
  <si>
    <t>CT 2555 / 1940</t>
  </si>
  <si>
    <t>10/06/2023</t>
  </si>
  <si>
    <t>QHL03</t>
  </si>
  <si>
    <t>ANA CRISTINA CRISTO VIZEU LIMA</t>
  </si>
  <si>
    <t>CT 2830 / 4520</t>
  </si>
  <si>
    <t>14/10/2020</t>
  </si>
  <si>
    <t>10/10/2022</t>
  </si>
  <si>
    <t>F01QLL15</t>
  </si>
  <si>
    <t>BIANCA LIMA DOS SANTOS FELIPE</t>
  </si>
  <si>
    <t>CT 351 / 1542</t>
  </si>
  <si>
    <t>30/01/2022</t>
  </si>
  <si>
    <t>DANIELA CARMEN DE SOUZA MENESES</t>
  </si>
  <si>
    <t>CT 2110 / 1099</t>
  </si>
  <si>
    <t>10/04/2022</t>
  </si>
  <si>
    <t>QHL09</t>
  </si>
  <si>
    <t>ELIANE DOS SANTOS MORAES</t>
  </si>
  <si>
    <t>CT 1795 / 6568</t>
  </si>
  <si>
    <t>27/01/2020</t>
  </si>
  <si>
    <t>31/03/2022</t>
  </si>
  <si>
    <t>QAL37</t>
  </si>
  <si>
    <t>ERICA MAIARA SANTOS DE JESUS</t>
  </si>
  <si>
    <t>CT 3103 / 1030</t>
  </si>
  <si>
    <t>F01QML21</t>
  </si>
  <si>
    <t>GENIVALDO JOSÉ DOS SANTOS</t>
  </si>
  <si>
    <t>CT 2056 / 1657</t>
  </si>
  <si>
    <t>25/05/2020</t>
  </si>
  <si>
    <t>F01QPL08</t>
  </si>
  <si>
    <t>JOCIANE ROCHA</t>
  </si>
  <si>
    <t>CT 2300 / 1905</t>
  </si>
  <si>
    <t>13/07/2020</t>
  </si>
  <si>
    <t>12/07/2022</t>
  </si>
  <si>
    <t>QHL57</t>
  </si>
  <si>
    <t>JOHNATAS VINICIUS BARBOSA FELIX DA SILVA</t>
  </si>
  <si>
    <t>CT 3660 / 6528</t>
  </si>
  <si>
    <t>25/10/2022</t>
  </si>
  <si>
    <t>F01QBL02</t>
  </si>
  <si>
    <t>LOS 4 CONSTRUTORA EIRELI</t>
  </si>
  <si>
    <t>CT 1215 / 2027</t>
  </si>
  <si>
    <t>F01QBL08</t>
  </si>
  <si>
    <t>LUCAS OLIVEIRA DE BRITO</t>
  </si>
  <si>
    <t>CT 1115 / 1523</t>
  </si>
  <si>
    <t>20/11/2022</t>
  </si>
  <si>
    <t>F01QML09</t>
  </si>
  <si>
    <t>MANUEL GOMES DE SOUZA</t>
  </si>
  <si>
    <t>CT 4269 / 1951</t>
  </si>
  <si>
    <t>10/08/2023</t>
  </si>
  <si>
    <t>Q04L23</t>
  </si>
  <si>
    <t>MATEUS RAMOS DA SILVA</t>
  </si>
  <si>
    <t>CT 3944 / 550</t>
  </si>
  <si>
    <t>MERISSON REZENDE DE MORAIS</t>
  </si>
  <si>
    <t>CT 2426 / 4505</t>
  </si>
  <si>
    <t>10/07/2020</t>
  </si>
  <si>
    <t>10/08/2021</t>
  </si>
  <si>
    <t>F01QPL11</t>
  </si>
  <si>
    <t>NAYARA STEPHANIE CUADROS</t>
  </si>
  <si>
    <t>CT 4217 / 1686</t>
  </si>
  <si>
    <t>25/02/2024</t>
  </si>
  <si>
    <t>NILSON JOSE DE SOUZA RAMOS</t>
  </si>
  <si>
    <t>CT 2736 / 4624</t>
  </si>
  <si>
    <t>01/09/2020</t>
  </si>
  <si>
    <t>05/11/2023</t>
  </si>
  <si>
    <t>F01QJL01</t>
  </si>
  <si>
    <t>PATRICIA DE AQUINO MARIANO</t>
  </si>
  <si>
    <t>CT 3363 / 1501</t>
  </si>
  <si>
    <t>16/07/2021</t>
  </si>
  <si>
    <t>30/06/2022</t>
  </si>
  <si>
    <t>F02QCL01</t>
  </si>
  <si>
    <t>POLIANE ALVES DE SOUZA</t>
  </si>
  <si>
    <t>CT 5504 / 2042</t>
  </si>
  <si>
    <t>24/08/2023</t>
  </si>
  <si>
    <t>QDL29</t>
  </si>
  <si>
    <t>RENAN RICARDO GRADIM DA SILVA</t>
  </si>
  <si>
    <t>CT 2812 / 789</t>
  </si>
  <si>
    <t>30/11/2023</t>
  </si>
  <si>
    <t>F01QGL46</t>
  </si>
  <si>
    <t>ROBERIO LIMA SALDANHA</t>
  </si>
  <si>
    <t>CT 1793 / 1848</t>
  </si>
  <si>
    <t>18/01/2020</t>
  </si>
  <si>
    <t>Q07L24</t>
  </si>
  <si>
    <t>THUANE CRISTINE DE SOUSA PIRES SANTOS</t>
  </si>
  <si>
    <t>CT 3897 / 390</t>
  </si>
  <si>
    <t>20/01/2023</t>
  </si>
  <si>
    <t>Q09L06</t>
  </si>
  <si>
    <t>WEYDDERSON PINTO FEITOSA</t>
  </si>
  <si>
    <t>CT 3873 / 490</t>
  </si>
  <si>
    <t>Status Abertura</t>
  </si>
  <si>
    <t>Status Consolidado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</si>
</sst>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0.00"/>
    <numFmt numFmtId="165" formatCode="###,##0.00"/>
    <numFmt numFmtId="166" formatCode="##,##0.00"/>
    <numFmt numFmtId="167" formatCode="#0.00"/>
    <numFmt numFmtId="168" formatCode="00"/>
    <numFmt numFmtId="169" formatCode="#,###,##0.00"/>
    <numFmt numFmtId="170" formatCode="000"/>
  </numFmts>
  <fonts count="4" x14ac:knownFonts="1">
    <font>
      <sz val="1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6">
    <xf numFmtId="0" fontId="0" fillId="0" borderId="0"/>
    <xf numFmtId="9" fontId="3" fillId="0" borderId="0"/>
    <xf numFmtId="44" fontId="3" fillId="0" borderId="0"/>
    <xf numFmtId="42" fontId="3" fillId="0" borderId="0"/>
    <xf numFmtId="43" fontId="3" fillId="0" borderId="0"/>
    <xf numFmtId="41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64"/>
  <sheetViews>
    <sheetView tabSelected="1" workbookViewId="0"/>
  </sheetViews>
  <sheetFormatPr defaultColWidth="9.109375" defaultRowHeight="13.2" x14ac:dyDescent="0.25"/>
  <cols>
    <col min="1" max="1" width="12.44140625" style="2" bestFit="1" customWidth="1"/>
    <col min="2" max="2" width="43.5546875" style="2" bestFit="1" customWidth="1"/>
    <col min="3" max="3" width="16" style="2" bestFit="1" customWidth="1"/>
    <col min="4" max="4" width="21" style="2" bestFit="1" customWidth="1"/>
    <col min="5" max="5" width="16.109375" style="2" bestFit="1" customWidth="1"/>
    <col min="6" max="6" width="15.5546875" style="2" bestFit="1" customWidth="1"/>
    <col min="7" max="9" width="15.5546875" style="2" customWidth="1"/>
    <col min="10" max="10" width="17.109375" style="2" bestFit="1" customWidth="1"/>
    <col min="11" max="11" width="16.6640625" style="2" bestFit="1" customWidth="1"/>
    <col min="12" max="12" width="14.44140625" style="2" bestFit="1" customWidth="1"/>
    <col min="13" max="13" width="18.88671875" style="2" bestFit="1" customWidth="1"/>
    <col min="14" max="14" width="29" style="2" bestFit="1" customWidth="1"/>
    <col min="15" max="15" width="16.33203125" style="2" bestFit="1" customWidth="1"/>
    <col min="16" max="17" width="30.5546875" style="2" customWidth="1"/>
    <col min="18" max="18" width="9.109375" style="2" customWidth="1"/>
    <col min="19" max="16384" width="9.109375" style="2"/>
  </cols>
  <sheetData>
    <row r="1" spans="1:1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4" t="s">
        <v>14</v>
      </c>
      <c r="H1" s="14" t="s">
        <v>15</v>
      </c>
      <c r="I1" s="14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7" t="s">
        <v>2806</v>
      </c>
      <c r="Q1" s="17" t="s">
        <v>2805</v>
      </c>
    </row>
    <row r="2" spans="1:17" x14ac:dyDescent="0.25">
      <c r="A2" s="3" t="s">
        <v>108</v>
      </c>
      <c r="B2" s="3" t="s">
        <v>109</v>
      </c>
      <c r="C2" s="3" t="s">
        <v>94</v>
      </c>
      <c r="D2" s="3" t="s">
        <v>110</v>
      </c>
      <c r="E2" s="3" t="s">
        <v>111</v>
      </c>
      <c r="F2" s="3" t="s">
        <v>112</v>
      </c>
      <c r="G2" s="15">
        <v>46133</v>
      </c>
      <c r="H2" s="16">
        <f t="shared" ref="H2:H65" si="0">G2-F2</f>
        <v>167</v>
      </c>
      <c r="I2" s="16" t="str">
        <f t="shared" ref="I2:I65" si="1">+IF(H2&lt;35,"Adimplente",IF(H2&lt;=60,"35 à 60 dias",IF(H2&lt;=90,"61 à 90 dias",IF(H2&lt;=120,"91 à 120 dias",IF(H2&lt;=180,"121 à 180 dias",IF(H2&lt;=240,"181 à 240 dias",IF(H2&lt;=365,"241 à 365 dias","Maior 365 dias")))))))</f>
        <v>121 à 180 dias</v>
      </c>
      <c r="J2" s="11">
        <v>11</v>
      </c>
      <c r="K2" s="8">
        <v>10140.950000000001</v>
      </c>
      <c r="L2" s="6">
        <v>502.79</v>
      </c>
      <c r="M2" s="8">
        <v>10643.74</v>
      </c>
      <c r="N2" s="8">
        <v>17453.79</v>
      </c>
      <c r="O2" s="7">
        <v>152984.29999999999</v>
      </c>
      <c r="P2" s="3" t="s">
        <v>0</v>
      </c>
      <c r="Q2" s="3" t="s">
        <v>5</v>
      </c>
    </row>
    <row r="3" spans="1:17" x14ac:dyDescent="0.25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  <c r="F3" s="3" t="s">
        <v>44</v>
      </c>
      <c r="G3" s="15">
        <v>46133</v>
      </c>
      <c r="H3" s="16">
        <f t="shared" si="0"/>
        <v>147</v>
      </c>
      <c r="I3" s="16" t="str">
        <f t="shared" si="1"/>
        <v>121 à 180 dias</v>
      </c>
      <c r="J3" s="4">
        <v>3</v>
      </c>
      <c r="K3" s="8">
        <v>14152.89</v>
      </c>
      <c r="L3" s="6">
        <v>651.38</v>
      </c>
      <c r="M3" s="8">
        <v>14804.27</v>
      </c>
      <c r="N3" s="8">
        <v>71405.47</v>
      </c>
      <c r="O3" s="7">
        <v>254752.02</v>
      </c>
      <c r="P3" s="3" t="s">
        <v>0</v>
      </c>
      <c r="Q3" s="3" t="s">
        <v>5</v>
      </c>
    </row>
    <row r="4" spans="1:17" x14ac:dyDescent="0.25">
      <c r="A4" s="3" t="s">
        <v>118</v>
      </c>
      <c r="B4" s="3" t="s">
        <v>119</v>
      </c>
      <c r="C4" s="3" t="s">
        <v>120</v>
      </c>
      <c r="D4" s="3" t="s">
        <v>121</v>
      </c>
      <c r="E4" s="3" t="s">
        <v>122</v>
      </c>
      <c r="F4" s="3" t="s">
        <v>112</v>
      </c>
      <c r="G4" s="15">
        <v>46133</v>
      </c>
      <c r="H4" s="16">
        <f t="shared" si="0"/>
        <v>167</v>
      </c>
      <c r="I4" s="16" t="str">
        <f t="shared" si="1"/>
        <v>121 à 180 dias</v>
      </c>
      <c r="J4" s="4">
        <v>3</v>
      </c>
      <c r="K4" s="5">
        <v>6163.07</v>
      </c>
      <c r="L4" s="6">
        <v>375.51</v>
      </c>
      <c r="M4" s="5">
        <v>6538.58</v>
      </c>
      <c r="N4" s="7">
        <v>111222.75</v>
      </c>
      <c r="O4" s="7">
        <v>190741.65</v>
      </c>
      <c r="P4" s="3" t="s">
        <v>0</v>
      </c>
      <c r="Q4" s="3" t="s">
        <v>5</v>
      </c>
    </row>
    <row r="5" spans="1:17" x14ac:dyDescent="0.25">
      <c r="A5" s="3" t="s">
        <v>123</v>
      </c>
      <c r="B5" s="3" t="s">
        <v>124</v>
      </c>
      <c r="C5" s="3" t="s">
        <v>37</v>
      </c>
      <c r="D5" s="3" t="s">
        <v>125</v>
      </c>
      <c r="E5" s="18">
        <v>45644</v>
      </c>
      <c r="F5" s="3" t="s">
        <v>34</v>
      </c>
      <c r="G5" s="15">
        <v>46133</v>
      </c>
      <c r="H5" s="16">
        <f t="shared" si="0"/>
        <v>178</v>
      </c>
      <c r="I5" s="16" t="str">
        <f t="shared" si="1"/>
        <v>121 à 180 dias</v>
      </c>
      <c r="J5" s="4">
        <v>7</v>
      </c>
      <c r="K5" s="5">
        <v>3771.93</v>
      </c>
      <c r="L5" s="6">
        <v>216.6</v>
      </c>
      <c r="M5" s="5">
        <v>3988.53</v>
      </c>
      <c r="N5" s="5">
        <v>1581.89</v>
      </c>
      <c r="O5" s="7">
        <v>129312.83</v>
      </c>
      <c r="P5" s="3" t="s">
        <v>0</v>
      </c>
      <c r="Q5" s="3" t="s">
        <v>5</v>
      </c>
    </row>
    <row r="6" spans="1:17" x14ac:dyDescent="0.25">
      <c r="A6" s="3" t="s">
        <v>126</v>
      </c>
      <c r="B6" s="3" t="s">
        <v>127</v>
      </c>
      <c r="C6" s="3" t="s">
        <v>128</v>
      </c>
      <c r="D6" s="3" t="s">
        <v>129</v>
      </c>
      <c r="E6" s="3" t="s">
        <v>130</v>
      </c>
      <c r="F6" s="3" t="s">
        <v>44</v>
      </c>
      <c r="G6" s="15">
        <v>46133</v>
      </c>
      <c r="H6" s="16">
        <f t="shared" si="0"/>
        <v>147</v>
      </c>
      <c r="I6" s="16" t="str">
        <f t="shared" si="1"/>
        <v>121 à 180 dias</v>
      </c>
      <c r="J6" s="4">
        <v>3</v>
      </c>
      <c r="K6" s="5">
        <v>6698.02</v>
      </c>
      <c r="L6" s="6">
        <v>238.29</v>
      </c>
      <c r="M6" s="5">
        <v>6936.31</v>
      </c>
      <c r="N6" s="8">
        <v>40784.129999999997</v>
      </c>
      <c r="O6" s="7">
        <v>303984.12</v>
      </c>
      <c r="P6" s="3" t="s">
        <v>0</v>
      </c>
      <c r="Q6" s="3" t="s">
        <v>5</v>
      </c>
    </row>
    <row r="7" spans="1:17" x14ac:dyDescent="0.25">
      <c r="A7" s="3" t="s">
        <v>131</v>
      </c>
      <c r="B7" s="3" t="s">
        <v>132</v>
      </c>
      <c r="C7" s="3" t="s">
        <v>128</v>
      </c>
      <c r="D7" s="3" t="s">
        <v>133</v>
      </c>
      <c r="E7" s="3" t="s">
        <v>134</v>
      </c>
      <c r="F7" s="3" t="s">
        <v>135</v>
      </c>
      <c r="G7" s="15">
        <v>46133</v>
      </c>
      <c r="H7" s="16">
        <f t="shared" si="0"/>
        <v>132</v>
      </c>
      <c r="I7" s="16" t="str">
        <f t="shared" si="1"/>
        <v>121 à 180 dias</v>
      </c>
      <c r="J7" s="4">
        <v>9</v>
      </c>
      <c r="K7" s="5">
        <v>8514.44</v>
      </c>
      <c r="L7" s="6">
        <v>270.88</v>
      </c>
      <c r="M7" s="5">
        <v>8785.32</v>
      </c>
      <c r="N7" s="8">
        <v>84831.77</v>
      </c>
      <c r="O7" s="7">
        <v>468615.8</v>
      </c>
      <c r="P7" s="3" t="s">
        <v>0</v>
      </c>
      <c r="Q7" s="3" t="s">
        <v>5</v>
      </c>
    </row>
    <row r="8" spans="1:17" x14ac:dyDescent="0.25">
      <c r="A8" s="3" t="s">
        <v>136</v>
      </c>
      <c r="B8" s="3" t="s">
        <v>137</v>
      </c>
      <c r="C8" s="3" t="s">
        <v>128</v>
      </c>
      <c r="D8" s="3" t="s">
        <v>138</v>
      </c>
      <c r="E8" s="3" t="s">
        <v>139</v>
      </c>
      <c r="F8" s="3" t="s">
        <v>53</v>
      </c>
      <c r="G8" s="15">
        <v>46133</v>
      </c>
      <c r="H8" s="16">
        <f t="shared" si="0"/>
        <v>162</v>
      </c>
      <c r="I8" s="16" t="str">
        <f t="shared" si="1"/>
        <v>121 à 180 dias</v>
      </c>
      <c r="J8" s="4">
        <v>1</v>
      </c>
      <c r="K8" s="5">
        <v>7262.46</v>
      </c>
      <c r="L8" s="6">
        <v>543.57000000000005</v>
      </c>
      <c r="M8" s="5">
        <v>7806.03</v>
      </c>
      <c r="N8" s="7">
        <v>329986.76</v>
      </c>
      <c r="O8" s="5">
        <v>7262.46</v>
      </c>
      <c r="P8" s="3" t="s">
        <v>0</v>
      </c>
      <c r="Q8" s="3" t="s">
        <v>5</v>
      </c>
    </row>
    <row r="9" spans="1:17" x14ac:dyDescent="0.25">
      <c r="A9" s="3" t="s">
        <v>140</v>
      </c>
      <c r="B9" s="3" t="s">
        <v>141</v>
      </c>
      <c r="C9" s="3" t="s">
        <v>128</v>
      </c>
      <c r="D9" s="3" t="s">
        <v>142</v>
      </c>
      <c r="E9" s="3" t="s">
        <v>143</v>
      </c>
      <c r="F9" s="3" t="s">
        <v>144</v>
      </c>
      <c r="G9" s="15">
        <v>46133</v>
      </c>
      <c r="H9" s="16">
        <f t="shared" si="0"/>
        <v>127</v>
      </c>
      <c r="I9" s="16" t="str">
        <f t="shared" si="1"/>
        <v>121 à 180 dias</v>
      </c>
      <c r="J9" s="4">
        <v>7</v>
      </c>
      <c r="K9" s="8">
        <v>21503.24</v>
      </c>
      <c r="L9" s="5">
        <v>1007.52</v>
      </c>
      <c r="M9" s="8">
        <v>22510.76</v>
      </c>
      <c r="N9" s="8">
        <v>89058.28</v>
      </c>
      <c r="O9" s="7">
        <v>354307.56</v>
      </c>
      <c r="P9" s="3" t="s">
        <v>0</v>
      </c>
      <c r="Q9" s="3" t="s">
        <v>5</v>
      </c>
    </row>
    <row r="10" spans="1:17" x14ac:dyDescent="0.25">
      <c r="A10" s="3" t="s">
        <v>145</v>
      </c>
      <c r="B10" s="3" t="s">
        <v>146</v>
      </c>
      <c r="C10" s="3" t="s">
        <v>50</v>
      </c>
      <c r="D10" s="3" t="s">
        <v>147</v>
      </c>
      <c r="E10" s="3" t="s">
        <v>148</v>
      </c>
      <c r="F10" s="3" t="s">
        <v>62</v>
      </c>
      <c r="G10" s="15">
        <v>46133</v>
      </c>
      <c r="H10" s="16">
        <f t="shared" si="0"/>
        <v>137</v>
      </c>
      <c r="I10" s="16" t="str">
        <f t="shared" si="1"/>
        <v>121 à 180 dias</v>
      </c>
      <c r="J10" s="4">
        <v>5</v>
      </c>
      <c r="K10" s="5">
        <v>7603.4</v>
      </c>
      <c r="L10" s="6">
        <v>350.45</v>
      </c>
      <c r="M10" s="5">
        <v>8054.25</v>
      </c>
      <c r="N10" s="8">
        <v>32718.47</v>
      </c>
      <c r="O10" s="7">
        <v>329987.56</v>
      </c>
      <c r="P10" s="3" t="s">
        <v>0</v>
      </c>
      <c r="Q10" s="3" t="s">
        <v>5</v>
      </c>
    </row>
    <row r="11" spans="1:17" x14ac:dyDescent="0.25">
      <c r="A11" s="3" t="s">
        <v>149</v>
      </c>
      <c r="B11" s="3" t="s">
        <v>150</v>
      </c>
      <c r="C11" s="3" t="s">
        <v>37</v>
      </c>
      <c r="D11" s="3" t="s">
        <v>151</v>
      </c>
      <c r="E11" s="3" t="s">
        <v>152</v>
      </c>
      <c r="F11" s="3" t="s">
        <v>153</v>
      </c>
      <c r="G11" s="15">
        <v>46133</v>
      </c>
      <c r="H11" s="16">
        <f t="shared" si="0"/>
        <v>152</v>
      </c>
      <c r="I11" s="16" t="str">
        <f t="shared" si="1"/>
        <v>121 à 180 dias</v>
      </c>
      <c r="J11" s="4">
        <v>5</v>
      </c>
      <c r="K11" s="5">
        <v>2750.65</v>
      </c>
      <c r="L11" s="6">
        <v>136.12</v>
      </c>
      <c r="M11" s="5">
        <v>2886.77</v>
      </c>
      <c r="N11" s="8">
        <v>12339.93</v>
      </c>
      <c r="O11" s="7">
        <v>119928.34</v>
      </c>
      <c r="P11" s="3" t="s">
        <v>0</v>
      </c>
      <c r="Q11" s="3" t="s">
        <v>5</v>
      </c>
    </row>
    <row r="12" spans="1:17" x14ac:dyDescent="0.25">
      <c r="A12" s="3" t="s">
        <v>154</v>
      </c>
      <c r="B12" s="3" t="s">
        <v>155</v>
      </c>
      <c r="C12" s="3" t="s">
        <v>50</v>
      </c>
      <c r="D12" s="3" t="s">
        <v>156</v>
      </c>
      <c r="E12" s="3" t="s">
        <v>157</v>
      </c>
      <c r="F12" s="3" t="s">
        <v>144</v>
      </c>
      <c r="G12" s="15">
        <v>46133</v>
      </c>
      <c r="H12" s="16">
        <f t="shared" si="0"/>
        <v>127</v>
      </c>
      <c r="I12" s="16" t="str">
        <f t="shared" si="1"/>
        <v>121 à 180 dias</v>
      </c>
      <c r="J12" s="11">
        <v>10</v>
      </c>
      <c r="K12" s="5">
        <v>9150.4699999999993</v>
      </c>
      <c r="L12" s="6">
        <v>393.03</v>
      </c>
      <c r="M12" s="5">
        <v>9694.15</v>
      </c>
      <c r="N12" s="8">
        <v>23986.03</v>
      </c>
      <c r="O12" s="7">
        <v>240283.63</v>
      </c>
      <c r="P12" s="3" t="s">
        <v>0</v>
      </c>
      <c r="Q12" s="3" t="s">
        <v>5</v>
      </c>
    </row>
    <row r="13" spans="1:17" x14ac:dyDescent="0.25">
      <c r="A13" s="3" t="s">
        <v>158</v>
      </c>
      <c r="B13" s="3" t="s">
        <v>159</v>
      </c>
      <c r="C13" s="3" t="s">
        <v>37</v>
      </c>
      <c r="D13" s="3" t="s">
        <v>160</v>
      </c>
      <c r="E13" s="3" t="s">
        <v>161</v>
      </c>
      <c r="F13" s="3" t="s">
        <v>34</v>
      </c>
      <c r="G13" s="15">
        <v>46133</v>
      </c>
      <c r="H13" s="16">
        <f t="shared" si="0"/>
        <v>178</v>
      </c>
      <c r="I13" s="16" t="str">
        <f t="shared" si="1"/>
        <v>121 à 180 dias</v>
      </c>
      <c r="J13" s="4">
        <v>5</v>
      </c>
      <c r="K13" s="5">
        <v>3072.1</v>
      </c>
      <c r="L13" s="6">
        <v>198.92</v>
      </c>
      <c r="M13" s="5">
        <v>3271.02</v>
      </c>
      <c r="N13" s="5">
        <v>1843.26</v>
      </c>
      <c r="O13" s="7">
        <v>108752.34</v>
      </c>
      <c r="P13" s="3" t="s">
        <v>0</v>
      </c>
      <c r="Q13" s="3" t="s">
        <v>5</v>
      </c>
    </row>
    <row r="14" spans="1:17" x14ac:dyDescent="0.25">
      <c r="A14" s="3" t="s">
        <v>162</v>
      </c>
      <c r="B14" s="3" t="s">
        <v>163</v>
      </c>
      <c r="C14" s="3" t="s">
        <v>164</v>
      </c>
      <c r="D14" s="3" t="s">
        <v>165</v>
      </c>
      <c r="E14" s="3" t="s">
        <v>166</v>
      </c>
      <c r="F14" s="3" t="s">
        <v>28</v>
      </c>
      <c r="G14" s="15">
        <v>46133</v>
      </c>
      <c r="H14" s="16">
        <f t="shared" si="0"/>
        <v>122</v>
      </c>
      <c r="I14" s="16" t="str">
        <f t="shared" si="1"/>
        <v>121 à 180 dias</v>
      </c>
      <c r="J14" s="4">
        <v>4</v>
      </c>
      <c r="K14" s="8">
        <v>20717.599999999999</v>
      </c>
      <c r="L14" s="6">
        <v>912.77</v>
      </c>
      <c r="M14" s="8">
        <v>21630.37</v>
      </c>
      <c r="N14" s="8">
        <v>60275.28</v>
      </c>
      <c r="O14" s="7">
        <v>160561.4</v>
      </c>
      <c r="P14" s="3" t="s">
        <v>0</v>
      </c>
      <c r="Q14" s="3" t="s">
        <v>5</v>
      </c>
    </row>
    <row r="15" spans="1:17" x14ac:dyDescent="0.25">
      <c r="A15" s="3" t="s">
        <v>167</v>
      </c>
      <c r="B15" s="3" t="s">
        <v>168</v>
      </c>
      <c r="C15" s="3" t="s">
        <v>25</v>
      </c>
      <c r="D15" s="3" t="s">
        <v>169</v>
      </c>
      <c r="E15" s="3" t="s">
        <v>170</v>
      </c>
      <c r="F15" s="3" t="s">
        <v>62</v>
      </c>
      <c r="G15" s="15">
        <v>46133</v>
      </c>
      <c r="H15" s="16">
        <f t="shared" si="0"/>
        <v>137</v>
      </c>
      <c r="I15" s="16" t="str">
        <f t="shared" si="1"/>
        <v>121 à 180 dias</v>
      </c>
      <c r="J15" s="4">
        <v>6</v>
      </c>
      <c r="K15" s="5">
        <v>6144.15</v>
      </c>
      <c r="L15" s="6">
        <v>255.57</v>
      </c>
      <c r="M15" s="5">
        <v>6399.72</v>
      </c>
      <c r="N15" s="8">
        <v>43132.58</v>
      </c>
      <c r="O15" s="8">
        <v>49898.18</v>
      </c>
      <c r="P15" s="3" t="s">
        <v>0</v>
      </c>
      <c r="Q15" s="3" t="s">
        <v>5</v>
      </c>
    </row>
    <row r="16" spans="1:17" x14ac:dyDescent="0.25">
      <c r="A16" s="3" t="s">
        <v>171</v>
      </c>
      <c r="B16" s="3" t="s">
        <v>168</v>
      </c>
      <c r="C16" s="3" t="s">
        <v>25</v>
      </c>
      <c r="D16" s="3" t="s">
        <v>172</v>
      </c>
      <c r="E16" s="3" t="s">
        <v>173</v>
      </c>
      <c r="F16" s="3" t="s">
        <v>174</v>
      </c>
      <c r="G16" s="15">
        <v>46133</v>
      </c>
      <c r="H16" s="16">
        <f t="shared" si="0"/>
        <v>140</v>
      </c>
      <c r="I16" s="16" t="str">
        <f t="shared" si="1"/>
        <v>121 à 180 dias</v>
      </c>
      <c r="J16" s="4">
        <v>4</v>
      </c>
      <c r="K16" s="5">
        <v>4279.82</v>
      </c>
      <c r="L16" s="6">
        <v>196.63</v>
      </c>
      <c r="M16" s="5">
        <v>4476.45</v>
      </c>
      <c r="N16" s="5">
        <v>7565.63</v>
      </c>
      <c r="O16" s="7">
        <v>123050.86</v>
      </c>
      <c r="P16" s="3" t="s">
        <v>0</v>
      </c>
      <c r="Q16" s="3" t="s">
        <v>5</v>
      </c>
    </row>
    <row r="17" spans="1:17" x14ac:dyDescent="0.25">
      <c r="A17" s="3" t="s">
        <v>175</v>
      </c>
      <c r="B17" s="3" t="s">
        <v>176</v>
      </c>
      <c r="C17" s="3" t="s">
        <v>50</v>
      </c>
      <c r="D17" s="3" t="s">
        <v>177</v>
      </c>
      <c r="E17" s="3" t="s">
        <v>178</v>
      </c>
      <c r="F17" s="3" t="s">
        <v>44</v>
      </c>
      <c r="G17" s="15">
        <v>46133</v>
      </c>
      <c r="H17" s="16">
        <f t="shared" si="0"/>
        <v>147</v>
      </c>
      <c r="I17" s="16" t="str">
        <f t="shared" si="1"/>
        <v>121 à 180 dias</v>
      </c>
      <c r="J17" s="4">
        <v>5</v>
      </c>
      <c r="K17" s="5">
        <v>5807.75</v>
      </c>
      <c r="L17" s="6">
        <v>290.72000000000003</v>
      </c>
      <c r="M17" s="5">
        <v>6229.88</v>
      </c>
      <c r="N17" s="8">
        <v>20348.560000000001</v>
      </c>
      <c r="O17" s="7">
        <v>257864.1</v>
      </c>
      <c r="P17" s="3" t="s">
        <v>0</v>
      </c>
      <c r="Q17" s="3" t="s">
        <v>5</v>
      </c>
    </row>
    <row r="18" spans="1:17" x14ac:dyDescent="0.25">
      <c r="A18" s="3" t="s">
        <v>179</v>
      </c>
      <c r="B18" s="3" t="s">
        <v>180</v>
      </c>
      <c r="C18" s="3" t="s">
        <v>128</v>
      </c>
      <c r="D18" s="3" t="s">
        <v>181</v>
      </c>
      <c r="E18" s="3" t="s">
        <v>182</v>
      </c>
      <c r="F18" s="3" t="s">
        <v>183</v>
      </c>
      <c r="G18" s="15">
        <v>46133</v>
      </c>
      <c r="H18" s="16">
        <f t="shared" si="0"/>
        <v>121</v>
      </c>
      <c r="I18" s="16" t="str">
        <f t="shared" si="1"/>
        <v>121 à 180 dias</v>
      </c>
      <c r="J18" s="4">
        <v>4</v>
      </c>
      <c r="K18" s="5">
        <v>6814.92</v>
      </c>
      <c r="L18" s="6">
        <v>304.89999999999998</v>
      </c>
      <c r="M18" s="5">
        <v>7119.82</v>
      </c>
      <c r="N18" s="7">
        <v>145981.99</v>
      </c>
      <c r="O18" s="8">
        <v>34074.6</v>
      </c>
      <c r="P18" s="3" t="s">
        <v>0</v>
      </c>
      <c r="Q18" s="3" t="s">
        <v>5</v>
      </c>
    </row>
    <row r="19" spans="1:17" x14ac:dyDescent="0.25">
      <c r="A19" s="3" t="s">
        <v>184</v>
      </c>
      <c r="B19" s="3" t="s">
        <v>185</v>
      </c>
      <c r="C19" s="3" t="s">
        <v>25</v>
      </c>
      <c r="D19" s="3" t="s">
        <v>186</v>
      </c>
      <c r="E19" s="3" t="s">
        <v>187</v>
      </c>
      <c r="F19" s="3" t="s">
        <v>84</v>
      </c>
      <c r="G19" s="15">
        <v>46133</v>
      </c>
      <c r="H19" s="16">
        <f t="shared" si="0"/>
        <v>172</v>
      </c>
      <c r="I19" s="16" t="str">
        <f t="shared" si="1"/>
        <v>121 à 180 dias</v>
      </c>
      <c r="J19" s="4">
        <v>1</v>
      </c>
      <c r="K19" s="6">
        <v>938.18</v>
      </c>
      <c r="L19" s="9">
        <v>72.930000000000007</v>
      </c>
      <c r="M19" s="5">
        <v>1011.11</v>
      </c>
      <c r="N19" s="8">
        <v>59651.7</v>
      </c>
      <c r="O19" s="8">
        <v>15010.88</v>
      </c>
      <c r="P19" s="3" t="s">
        <v>0</v>
      </c>
      <c r="Q19" s="3" t="s">
        <v>5</v>
      </c>
    </row>
    <row r="20" spans="1:17" x14ac:dyDescent="0.25">
      <c r="A20" s="3" t="s">
        <v>188</v>
      </c>
      <c r="B20" s="3" t="s">
        <v>189</v>
      </c>
      <c r="C20" s="3" t="s">
        <v>190</v>
      </c>
      <c r="D20" s="3" t="s">
        <v>191</v>
      </c>
      <c r="E20" s="3" t="s">
        <v>135</v>
      </c>
      <c r="F20" s="3" t="s">
        <v>28</v>
      </c>
      <c r="G20" s="15">
        <v>46133</v>
      </c>
      <c r="H20" s="16">
        <f t="shared" si="0"/>
        <v>122</v>
      </c>
      <c r="I20" s="16" t="str">
        <f t="shared" si="1"/>
        <v>121 à 180 dias</v>
      </c>
      <c r="J20" s="4">
        <v>4</v>
      </c>
      <c r="K20" s="8">
        <v>24089.599999999999</v>
      </c>
      <c r="L20" s="5">
        <v>1090.07</v>
      </c>
      <c r="M20" s="5">
        <v>25371.91</v>
      </c>
      <c r="N20" s="10">
        <v>0</v>
      </c>
      <c r="O20" s="7">
        <v>228851.36</v>
      </c>
      <c r="P20" s="3" t="s">
        <v>0</v>
      </c>
      <c r="Q20" s="3" t="s">
        <v>5</v>
      </c>
    </row>
    <row r="21" spans="1:17" x14ac:dyDescent="0.25">
      <c r="A21" s="3" t="s">
        <v>192</v>
      </c>
      <c r="B21" s="3" t="s">
        <v>193</v>
      </c>
      <c r="C21" s="3" t="s">
        <v>194</v>
      </c>
      <c r="D21" s="3" t="s">
        <v>195</v>
      </c>
      <c r="E21" s="3" t="s">
        <v>196</v>
      </c>
      <c r="F21" s="3" t="s">
        <v>197</v>
      </c>
      <c r="G21" s="15">
        <v>46133</v>
      </c>
      <c r="H21" s="16">
        <f t="shared" si="0"/>
        <v>135</v>
      </c>
      <c r="I21" s="16" t="str">
        <f t="shared" si="1"/>
        <v>121 à 180 dias</v>
      </c>
      <c r="J21" s="4">
        <v>4</v>
      </c>
      <c r="K21" s="8">
        <v>12265.43</v>
      </c>
      <c r="L21" s="6">
        <v>638.82000000000005</v>
      </c>
      <c r="M21" s="8">
        <v>12904.25</v>
      </c>
      <c r="N21" s="7">
        <v>154072.29999999999</v>
      </c>
      <c r="O21" s="7">
        <v>447626.43</v>
      </c>
      <c r="P21" s="3" t="s">
        <v>0</v>
      </c>
      <c r="Q21" s="3" t="s">
        <v>5</v>
      </c>
    </row>
    <row r="22" spans="1:17" x14ac:dyDescent="0.25">
      <c r="A22" s="3" t="s">
        <v>198</v>
      </c>
      <c r="B22" s="3" t="s">
        <v>199</v>
      </c>
      <c r="C22" s="3" t="s">
        <v>115</v>
      </c>
      <c r="D22" s="3" t="s">
        <v>200</v>
      </c>
      <c r="E22" s="3" t="s">
        <v>201</v>
      </c>
      <c r="F22" s="3" t="s">
        <v>28</v>
      </c>
      <c r="G22" s="15">
        <v>46133</v>
      </c>
      <c r="H22" s="16">
        <f t="shared" si="0"/>
        <v>122</v>
      </c>
      <c r="I22" s="16" t="str">
        <f t="shared" si="1"/>
        <v>121 à 180 dias</v>
      </c>
      <c r="J22" s="4">
        <v>5</v>
      </c>
      <c r="K22" s="8">
        <v>41400</v>
      </c>
      <c r="L22" s="5">
        <v>1667.04</v>
      </c>
      <c r="M22" s="8">
        <v>43067.040000000001</v>
      </c>
      <c r="N22" s="7">
        <v>166765</v>
      </c>
      <c r="O22" s="7">
        <v>173960</v>
      </c>
      <c r="P22" s="3" t="s">
        <v>0</v>
      </c>
      <c r="Q22" s="3" t="s">
        <v>5</v>
      </c>
    </row>
    <row r="23" spans="1:17" x14ac:dyDescent="0.25">
      <c r="A23" s="3" t="s">
        <v>202</v>
      </c>
      <c r="B23" s="3" t="s">
        <v>203</v>
      </c>
      <c r="C23" s="3" t="s">
        <v>25</v>
      </c>
      <c r="D23" s="3" t="s">
        <v>204</v>
      </c>
      <c r="E23" s="3" t="s">
        <v>205</v>
      </c>
      <c r="F23" s="3" t="s">
        <v>44</v>
      </c>
      <c r="G23" s="15">
        <v>46133</v>
      </c>
      <c r="H23" s="16">
        <f t="shared" si="0"/>
        <v>147</v>
      </c>
      <c r="I23" s="16" t="str">
        <f t="shared" si="1"/>
        <v>121 à 180 dias</v>
      </c>
      <c r="J23" s="11">
        <v>10</v>
      </c>
      <c r="K23" s="8">
        <v>15656.2</v>
      </c>
      <c r="L23" s="6">
        <v>736.77</v>
      </c>
      <c r="M23" s="8">
        <v>16392.97</v>
      </c>
      <c r="N23" s="8">
        <v>45533.97</v>
      </c>
      <c r="O23" s="7">
        <v>104896.54</v>
      </c>
      <c r="P23" s="3" t="s">
        <v>0</v>
      </c>
      <c r="Q23" s="3" t="s">
        <v>5</v>
      </c>
    </row>
    <row r="24" spans="1:17" x14ac:dyDescent="0.25">
      <c r="A24" s="3" t="s">
        <v>206</v>
      </c>
      <c r="B24" s="3" t="s">
        <v>203</v>
      </c>
      <c r="C24" s="3" t="s">
        <v>25</v>
      </c>
      <c r="D24" s="3" t="s">
        <v>207</v>
      </c>
      <c r="E24" s="3" t="s">
        <v>205</v>
      </c>
      <c r="F24" s="3" t="s">
        <v>208</v>
      </c>
      <c r="G24" s="15">
        <v>46133</v>
      </c>
      <c r="H24" s="16">
        <f t="shared" si="0"/>
        <v>165</v>
      </c>
      <c r="I24" s="16" t="str">
        <f t="shared" si="1"/>
        <v>121 à 180 dias</v>
      </c>
      <c r="J24" s="11">
        <v>11</v>
      </c>
      <c r="K24" s="8">
        <v>11341.58</v>
      </c>
      <c r="L24" s="6">
        <v>564.04</v>
      </c>
      <c r="M24" s="8">
        <v>11905.62</v>
      </c>
      <c r="N24" s="8">
        <v>34538.6</v>
      </c>
      <c r="O24" s="8">
        <v>75964.759999999995</v>
      </c>
      <c r="P24" s="3" t="s">
        <v>0</v>
      </c>
      <c r="Q24" s="3" t="s">
        <v>5</v>
      </c>
    </row>
    <row r="25" spans="1:17" x14ac:dyDescent="0.25">
      <c r="A25" s="3" t="s">
        <v>209</v>
      </c>
      <c r="B25" s="3" t="s">
        <v>210</v>
      </c>
      <c r="C25" s="3" t="s">
        <v>190</v>
      </c>
      <c r="D25" s="3" t="s">
        <v>211</v>
      </c>
      <c r="E25" s="3" t="s">
        <v>212</v>
      </c>
      <c r="F25" s="3" t="s">
        <v>44</v>
      </c>
      <c r="G25" s="15">
        <v>46133</v>
      </c>
      <c r="H25" s="16">
        <f t="shared" si="0"/>
        <v>147</v>
      </c>
      <c r="I25" s="16" t="str">
        <f t="shared" si="1"/>
        <v>121 à 180 dias</v>
      </c>
      <c r="J25" s="4">
        <v>1</v>
      </c>
      <c r="K25" s="5">
        <v>2770.79</v>
      </c>
      <c r="L25" s="6">
        <v>191.19</v>
      </c>
      <c r="M25" s="5">
        <v>2961.98</v>
      </c>
      <c r="N25" s="8">
        <v>30479.1</v>
      </c>
      <c r="O25" s="7">
        <v>127458.39</v>
      </c>
      <c r="P25" s="3" t="s">
        <v>0</v>
      </c>
      <c r="Q25" s="3" t="s">
        <v>5</v>
      </c>
    </row>
    <row r="26" spans="1:17" x14ac:dyDescent="0.25">
      <c r="A26" s="3" t="s">
        <v>213</v>
      </c>
      <c r="B26" s="3" t="s">
        <v>210</v>
      </c>
      <c r="C26" s="3" t="s">
        <v>190</v>
      </c>
      <c r="D26" s="3" t="s">
        <v>214</v>
      </c>
      <c r="E26" s="3" t="s">
        <v>215</v>
      </c>
      <c r="F26" s="3" t="s">
        <v>153</v>
      </c>
      <c r="G26" s="15">
        <v>46133</v>
      </c>
      <c r="H26" s="16">
        <f t="shared" si="0"/>
        <v>152</v>
      </c>
      <c r="I26" s="16" t="str">
        <f t="shared" si="1"/>
        <v>121 à 180 dias</v>
      </c>
      <c r="J26" s="4">
        <v>1</v>
      </c>
      <c r="K26" s="5">
        <v>2770.83</v>
      </c>
      <c r="L26" s="6">
        <v>194.89</v>
      </c>
      <c r="M26" s="5">
        <v>2998.31</v>
      </c>
      <c r="N26" s="8">
        <v>30479.18</v>
      </c>
      <c r="O26" s="7">
        <v>127458.43</v>
      </c>
      <c r="P26" s="3" t="s">
        <v>0</v>
      </c>
      <c r="Q26" s="3" t="s">
        <v>5</v>
      </c>
    </row>
    <row r="27" spans="1:17" x14ac:dyDescent="0.25">
      <c r="A27" s="3" t="s">
        <v>216</v>
      </c>
      <c r="B27" s="3" t="s">
        <v>217</v>
      </c>
      <c r="C27" s="3" t="s">
        <v>128</v>
      </c>
      <c r="D27" s="3" t="s">
        <v>218</v>
      </c>
      <c r="E27" s="3" t="s">
        <v>219</v>
      </c>
      <c r="F27" s="3" t="s">
        <v>44</v>
      </c>
      <c r="G27" s="15">
        <v>46133</v>
      </c>
      <c r="H27" s="16">
        <f t="shared" si="0"/>
        <v>147</v>
      </c>
      <c r="I27" s="16" t="str">
        <f t="shared" si="1"/>
        <v>121 à 180 dias</v>
      </c>
      <c r="J27" s="4">
        <v>5</v>
      </c>
      <c r="K27" s="8">
        <v>11350.83</v>
      </c>
      <c r="L27" s="6">
        <v>554.01</v>
      </c>
      <c r="M27" s="8">
        <v>11904.84</v>
      </c>
      <c r="N27" s="8">
        <v>19620.04</v>
      </c>
      <c r="O27" s="7">
        <v>270486.34999999998</v>
      </c>
      <c r="P27" s="3" t="s">
        <v>0</v>
      </c>
      <c r="Q27" s="3" t="s">
        <v>5</v>
      </c>
    </row>
    <row r="28" spans="1:17" x14ac:dyDescent="0.25">
      <c r="A28" s="3" t="s">
        <v>220</v>
      </c>
      <c r="B28" s="3" t="s">
        <v>221</v>
      </c>
      <c r="C28" s="3" t="s">
        <v>94</v>
      </c>
      <c r="D28" s="3" t="s">
        <v>222</v>
      </c>
      <c r="E28" s="3" t="s">
        <v>223</v>
      </c>
      <c r="F28" s="3" t="s">
        <v>44</v>
      </c>
      <c r="G28" s="15">
        <v>46133</v>
      </c>
      <c r="H28" s="16">
        <f t="shared" si="0"/>
        <v>147</v>
      </c>
      <c r="I28" s="16" t="str">
        <f t="shared" si="1"/>
        <v>121 à 180 dias</v>
      </c>
      <c r="J28" s="11">
        <v>10</v>
      </c>
      <c r="K28" s="8">
        <v>30014.29</v>
      </c>
      <c r="L28" s="5">
        <v>1416.68</v>
      </c>
      <c r="M28" s="8">
        <v>31430.97</v>
      </c>
      <c r="N28" s="8">
        <v>35228.76</v>
      </c>
      <c r="O28" s="7">
        <v>178387.79</v>
      </c>
      <c r="P28" s="3" t="s">
        <v>0</v>
      </c>
      <c r="Q28" s="3" t="s">
        <v>5</v>
      </c>
    </row>
    <row r="29" spans="1:17" x14ac:dyDescent="0.25">
      <c r="A29" s="3" t="s">
        <v>224</v>
      </c>
      <c r="B29" s="3" t="s">
        <v>221</v>
      </c>
      <c r="C29" s="3" t="s">
        <v>94</v>
      </c>
      <c r="D29" s="3" t="s">
        <v>225</v>
      </c>
      <c r="E29" s="3" t="s">
        <v>226</v>
      </c>
      <c r="F29" s="3" t="s">
        <v>153</v>
      </c>
      <c r="G29" s="15">
        <v>46133</v>
      </c>
      <c r="H29" s="16">
        <f t="shared" si="0"/>
        <v>152</v>
      </c>
      <c r="I29" s="16" t="str">
        <f t="shared" si="1"/>
        <v>121 à 180 dias</v>
      </c>
      <c r="J29" s="4">
        <v>6</v>
      </c>
      <c r="K29" s="5">
        <v>6629.28</v>
      </c>
      <c r="L29" s="6">
        <v>304.02</v>
      </c>
      <c r="M29" s="5">
        <v>6933.3</v>
      </c>
      <c r="N29" s="5">
        <v>4419.5200000000004</v>
      </c>
      <c r="O29" s="7">
        <v>128166.08</v>
      </c>
      <c r="P29" s="3" t="s">
        <v>0</v>
      </c>
      <c r="Q29" s="3" t="s">
        <v>5</v>
      </c>
    </row>
    <row r="30" spans="1:17" x14ac:dyDescent="0.25">
      <c r="A30" s="3" t="s">
        <v>227</v>
      </c>
      <c r="B30" s="3" t="s">
        <v>228</v>
      </c>
      <c r="C30" s="3" t="s">
        <v>25</v>
      </c>
      <c r="D30" s="3" t="s">
        <v>229</v>
      </c>
      <c r="E30" s="3" t="s">
        <v>230</v>
      </c>
      <c r="F30" s="3" t="s">
        <v>34</v>
      </c>
      <c r="G30" s="15">
        <v>46133</v>
      </c>
      <c r="H30" s="16">
        <f t="shared" si="0"/>
        <v>178</v>
      </c>
      <c r="I30" s="16" t="str">
        <f t="shared" si="1"/>
        <v>121 à 180 dias</v>
      </c>
      <c r="J30" s="4">
        <v>1</v>
      </c>
      <c r="K30" s="5">
        <v>1985.32</v>
      </c>
      <c r="L30" s="6">
        <v>156.97999999999999</v>
      </c>
      <c r="M30" s="5">
        <v>2142.3000000000002</v>
      </c>
      <c r="N30" s="5">
        <v>9926.6</v>
      </c>
      <c r="O30" s="7">
        <v>347431</v>
      </c>
      <c r="P30" s="3" t="s">
        <v>0</v>
      </c>
      <c r="Q30" s="3" t="s">
        <v>5</v>
      </c>
    </row>
    <row r="31" spans="1:17" x14ac:dyDescent="0.25">
      <c r="A31" s="3" t="s">
        <v>231</v>
      </c>
      <c r="B31" s="3" t="s">
        <v>232</v>
      </c>
      <c r="C31" s="3" t="s">
        <v>50</v>
      </c>
      <c r="D31" s="3" t="s">
        <v>233</v>
      </c>
      <c r="E31" s="3" t="s">
        <v>234</v>
      </c>
      <c r="F31" s="3" t="s">
        <v>34</v>
      </c>
      <c r="G31" s="15">
        <v>46133</v>
      </c>
      <c r="H31" s="16">
        <f t="shared" si="0"/>
        <v>178</v>
      </c>
      <c r="I31" s="16" t="str">
        <f t="shared" si="1"/>
        <v>121 à 180 dias</v>
      </c>
      <c r="J31" s="4">
        <v>3</v>
      </c>
      <c r="K31" s="5">
        <v>2868.21</v>
      </c>
      <c r="L31" s="6">
        <v>181.04</v>
      </c>
      <c r="M31" s="5">
        <v>3049.25</v>
      </c>
      <c r="N31" s="8">
        <v>26396.97</v>
      </c>
      <c r="O31" s="7">
        <v>201730.77</v>
      </c>
      <c r="P31" s="3" t="s">
        <v>0</v>
      </c>
      <c r="Q31" s="3" t="s">
        <v>5</v>
      </c>
    </row>
    <row r="32" spans="1:17" x14ac:dyDescent="0.25">
      <c r="A32" s="3" t="s">
        <v>235</v>
      </c>
      <c r="B32" s="3" t="s">
        <v>236</v>
      </c>
      <c r="C32" s="3" t="s">
        <v>128</v>
      </c>
      <c r="D32" s="3" t="s">
        <v>237</v>
      </c>
      <c r="E32" s="3" t="s">
        <v>238</v>
      </c>
      <c r="F32" s="3" t="s">
        <v>239</v>
      </c>
      <c r="G32" s="15">
        <v>46133</v>
      </c>
      <c r="H32" s="16">
        <f t="shared" si="0"/>
        <v>142</v>
      </c>
      <c r="I32" s="16" t="str">
        <f t="shared" si="1"/>
        <v>121 à 180 dias</v>
      </c>
      <c r="J32" s="4">
        <v>3</v>
      </c>
      <c r="K32" s="5">
        <v>7795.8</v>
      </c>
      <c r="L32" s="6">
        <v>340.98</v>
      </c>
      <c r="M32" s="5">
        <v>8136.78</v>
      </c>
      <c r="N32" s="7">
        <v>187560.3</v>
      </c>
      <c r="O32" s="7">
        <v>236472.6</v>
      </c>
      <c r="P32" s="3" t="s">
        <v>0</v>
      </c>
      <c r="Q32" s="3" t="s">
        <v>5</v>
      </c>
    </row>
    <row r="33" spans="1:17" x14ac:dyDescent="0.25">
      <c r="A33" s="3" t="s">
        <v>240</v>
      </c>
      <c r="B33" s="3" t="s">
        <v>241</v>
      </c>
      <c r="C33" s="3" t="s">
        <v>164</v>
      </c>
      <c r="D33" s="3" t="s">
        <v>242</v>
      </c>
      <c r="E33" s="3" t="s">
        <v>243</v>
      </c>
      <c r="F33" s="3" t="s">
        <v>44</v>
      </c>
      <c r="G33" s="15">
        <v>46133</v>
      </c>
      <c r="H33" s="16">
        <f t="shared" si="0"/>
        <v>147</v>
      </c>
      <c r="I33" s="16" t="str">
        <f t="shared" si="1"/>
        <v>121 à 180 dias</v>
      </c>
      <c r="J33" s="4">
        <v>5</v>
      </c>
      <c r="K33" s="8">
        <v>12755.2</v>
      </c>
      <c r="L33" s="6">
        <v>633.54999999999995</v>
      </c>
      <c r="M33" s="8">
        <v>13388.75</v>
      </c>
      <c r="N33" s="8">
        <v>19754.04</v>
      </c>
      <c r="O33" s="7">
        <v>107143.67999999999</v>
      </c>
      <c r="P33" s="3" t="s">
        <v>0</v>
      </c>
      <c r="Q33" s="3" t="s">
        <v>5</v>
      </c>
    </row>
    <row r="34" spans="1:17" x14ac:dyDescent="0.25">
      <c r="A34" s="3" t="s">
        <v>244</v>
      </c>
      <c r="B34" s="3" t="s">
        <v>245</v>
      </c>
      <c r="C34" s="3" t="s">
        <v>94</v>
      </c>
      <c r="D34" s="3" t="s">
        <v>246</v>
      </c>
      <c r="E34" s="3" t="s">
        <v>247</v>
      </c>
      <c r="F34" s="3" t="s">
        <v>135</v>
      </c>
      <c r="G34" s="15">
        <v>46133</v>
      </c>
      <c r="H34" s="16">
        <f t="shared" si="0"/>
        <v>132</v>
      </c>
      <c r="I34" s="16" t="str">
        <f t="shared" si="1"/>
        <v>121 à 180 dias</v>
      </c>
      <c r="J34" s="4">
        <v>8</v>
      </c>
      <c r="K34" s="5">
        <v>6230.72</v>
      </c>
      <c r="L34" s="6">
        <v>252.37</v>
      </c>
      <c r="M34" s="5">
        <v>6483.09</v>
      </c>
      <c r="N34" s="8">
        <v>25999.919999999998</v>
      </c>
      <c r="O34" s="7">
        <v>150015.12</v>
      </c>
      <c r="P34" s="3" t="s">
        <v>0</v>
      </c>
      <c r="Q34" s="3" t="s">
        <v>5</v>
      </c>
    </row>
    <row r="35" spans="1:17" x14ac:dyDescent="0.25">
      <c r="A35" s="3" t="s">
        <v>248</v>
      </c>
      <c r="B35" s="3" t="s">
        <v>249</v>
      </c>
      <c r="C35" s="3" t="s">
        <v>50</v>
      </c>
      <c r="D35" s="3" t="s">
        <v>250</v>
      </c>
      <c r="E35" s="3" t="s">
        <v>251</v>
      </c>
      <c r="F35" s="3" t="s">
        <v>28</v>
      </c>
      <c r="G35" s="15">
        <v>46133</v>
      </c>
      <c r="H35" s="16">
        <f t="shared" si="0"/>
        <v>122</v>
      </c>
      <c r="I35" s="16" t="str">
        <f t="shared" si="1"/>
        <v>121 à 180 dias</v>
      </c>
      <c r="J35" s="4">
        <v>5</v>
      </c>
      <c r="K35" s="5">
        <v>4549.1000000000004</v>
      </c>
      <c r="L35" s="6">
        <v>186.87</v>
      </c>
      <c r="M35" s="5">
        <v>4795.6000000000004</v>
      </c>
      <c r="N35" s="8">
        <v>21341.72</v>
      </c>
      <c r="O35" s="7">
        <v>195611.3</v>
      </c>
      <c r="P35" s="3" t="s">
        <v>0</v>
      </c>
      <c r="Q35" s="3" t="s">
        <v>5</v>
      </c>
    </row>
    <row r="36" spans="1:17" x14ac:dyDescent="0.25">
      <c r="A36" s="3" t="s">
        <v>252</v>
      </c>
      <c r="B36" s="3" t="s">
        <v>253</v>
      </c>
      <c r="C36" s="3" t="s">
        <v>25</v>
      </c>
      <c r="D36" s="3" t="s">
        <v>254</v>
      </c>
      <c r="E36" s="3" t="s">
        <v>139</v>
      </c>
      <c r="F36" s="3" t="s">
        <v>239</v>
      </c>
      <c r="G36" s="15">
        <v>46133</v>
      </c>
      <c r="H36" s="16">
        <f t="shared" si="0"/>
        <v>142</v>
      </c>
      <c r="I36" s="16" t="str">
        <f t="shared" si="1"/>
        <v>121 à 180 dias</v>
      </c>
      <c r="J36" s="11">
        <v>19</v>
      </c>
      <c r="K36" s="8">
        <v>15456.48</v>
      </c>
      <c r="L36" s="6">
        <v>706.31</v>
      </c>
      <c r="M36" s="8">
        <v>16162.79</v>
      </c>
      <c r="N36" s="8">
        <v>27890.93</v>
      </c>
      <c r="O36" s="8">
        <v>74286.679999999993</v>
      </c>
      <c r="P36" s="3" t="s">
        <v>0</v>
      </c>
      <c r="Q36" s="3" t="s">
        <v>5</v>
      </c>
    </row>
    <row r="37" spans="1:17" x14ac:dyDescent="0.25">
      <c r="A37" s="3" t="s">
        <v>255</v>
      </c>
      <c r="B37" s="3" t="s">
        <v>256</v>
      </c>
      <c r="C37" s="3" t="s">
        <v>128</v>
      </c>
      <c r="D37" s="3" t="s">
        <v>257</v>
      </c>
      <c r="E37" s="3" t="s">
        <v>258</v>
      </c>
      <c r="F37" s="3" t="s">
        <v>34</v>
      </c>
      <c r="G37" s="15">
        <v>46133</v>
      </c>
      <c r="H37" s="16">
        <f t="shared" si="0"/>
        <v>178</v>
      </c>
      <c r="I37" s="16" t="str">
        <f t="shared" si="1"/>
        <v>121 à 180 dias</v>
      </c>
      <c r="J37" s="4">
        <v>6</v>
      </c>
      <c r="K37" s="5">
        <v>9136.67</v>
      </c>
      <c r="L37" s="6">
        <v>479.63</v>
      </c>
      <c r="M37" s="5">
        <v>9616.2999999999993</v>
      </c>
      <c r="N37" s="7">
        <v>148193.28</v>
      </c>
      <c r="O37" s="7">
        <v>195757.07</v>
      </c>
      <c r="P37" s="3" t="s">
        <v>0</v>
      </c>
      <c r="Q37" s="3" t="s">
        <v>5</v>
      </c>
    </row>
    <row r="38" spans="1:17" x14ac:dyDescent="0.25">
      <c r="A38" s="3" t="s">
        <v>259</v>
      </c>
      <c r="B38" s="3" t="s">
        <v>260</v>
      </c>
      <c r="C38" s="3" t="s">
        <v>50</v>
      </c>
      <c r="D38" s="3" t="s">
        <v>261</v>
      </c>
      <c r="E38" s="3" t="s">
        <v>262</v>
      </c>
      <c r="F38" s="3" t="s">
        <v>44</v>
      </c>
      <c r="G38" s="15">
        <v>46133</v>
      </c>
      <c r="H38" s="16">
        <f t="shared" si="0"/>
        <v>147</v>
      </c>
      <c r="I38" s="16" t="str">
        <f t="shared" si="1"/>
        <v>121 à 180 dias</v>
      </c>
      <c r="J38" s="4">
        <v>5</v>
      </c>
      <c r="K38" s="5">
        <v>6113.3</v>
      </c>
      <c r="L38" s="6">
        <v>306.02999999999997</v>
      </c>
      <c r="M38" s="5">
        <v>6558.06</v>
      </c>
      <c r="N38" s="8">
        <v>20621.400000000001</v>
      </c>
      <c r="O38" s="7">
        <v>272653.18</v>
      </c>
      <c r="P38" s="3" t="s">
        <v>0</v>
      </c>
      <c r="Q38" s="3" t="s">
        <v>5</v>
      </c>
    </row>
    <row r="39" spans="1:17" x14ac:dyDescent="0.25">
      <c r="A39" s="3" t="s">
        <v>263</v>
      </c>
      <c r="B39" s="3" t="s">
        <v>264</v>
      </c>
      <c r="C39" s="3" t="s">
        <v>190</v>
      </c>
      <c r="D39" s="3" t="s">
        <v>265</v>
      </c>
      <c r="E39" s="3" t="s">
        <v>266</v>
      </c>
      <c r="F39" s="3" t="s">
        <v>44</v>
      </c>
      <c r="G39" s="15">
        <v>46133</v>
      </c>
      <c r="H39" s="16">
        <f t="shared" si="0"/>
        <v>147</v>
      </c>
      <c r="I39" s="16" t="str">
        <f t="shared" si="1"/>
        <v>121 à 180 dias</v>
      </c>
      <c r="J39" s="4">
        <v>5</v>
      </c>
      <c r="K39" s="8">
        <v>11180.35</v>
      </c>
      <c r="L39" s="6">
        <v>727.51</v>
      </c>
      <c r="M39" s="5">
        <v>12035.34</v>
      </c>
      <c r="N39" s="10">
        <v>0</v>
      </c>
      <c r="O39" s="7">
        <v>294230.61</v>
      </c>
      <c r="P39" s="3" t="s">
        <v>0</v>
      </c>
      <c r="Q39" s="3" t="s">
        <v>5</v>
      </c>
    </row>
    <row r="40" spans="1:17" x14ac:dyDescent="0.25">
      <c r="A40" s="3" t="s">
        <v>267</v>
      </c>
      <c r="B40" s="3" t="s">
        <v>268</v>
      </c>
      <c r="C40" s="3" t="s">
        <v>50</v>
      </c>
      <c r="D40" s="3" t="s">
        <v>269</v>
      </c>
      <c r="E40" s="3" t="s">
        <v>270</v>
      </c>
      <c r="F40" s="3" t="s">
        <v>271</v>
      </c>
      <c r="G40" s="15">
        <v>46133</v>
      </c>
      <c r="H40" s="16">
        <f t="shared" si="0"/>
        <v>173</v>
      </c>
      <c r="I40" s="16" t="str">
        <f t="shared" si="1"/>
        <v>121 à 180 dias</v>
      </c>
      <c r="J40" s="4">
        <v>1</v>
      </c>
      <c r="K40" s="5">
        <v>1679.75</v>
      </c>
      <c r="L40" s="6">
        <v>132.34</v>
      </c>
      <c r="M40" s="5">
        <v>1812.09</v>
      </c>
      <c r="N40" s="8">
        <v>51267.01</v>
      </c>
      <c r="O40" s="7">
        <v>147818</v>
      </c>
      <c r="P40" s="3" t="s">
        <v>0</v>
      </c>
      <c r="Q40" s="3" t="s">
        <v>5</v>
      </c>
    </row>
    <row r="41" spans="1:17" x14ac:dyDescent="0.25">
      <c r="A41" s="3" t="s">
        <v>272</v>
      </c>
      <c r="B41" s="3" t="s">
        <v>273</v>
      </c>
      <c r="C41" s="3" t="s">
        <v>37</v>
      </c>
      <c r="D41" s="3" t="s">
        <v>274</v>
      </c>
      <c r="E41" s="3" t="s">
        <v>275</v>
      </c>
      <c r="F41" s="3" t="s">
        <v>34</v>
      </c>
      <c r="G41" s="15">
        <v>46133</v>
      </c>
      <c r="H41" s="16">
        <f t="shared" si="0"/>
        <v>178</v>
      </c>
      <c r="I41" s="16" t="str">
        <f t="shared" si="1"/>
        <v>121 à 180 dias</v>
      </c>
      <c r="J41" s="4">
        <v>2</v>
      </c>
      <c r="K41" s="5">
        <v>2328.79</v>
      </c>
      <c r="L41" s="6">
        <v>137.01</v>
      </c>
      <c r="M41" s="5">
        <v>2465.8000000000002</v>
      </c>
      <c r="N41" s="8">
        <v>12659.99</v>
      </c>
      <c r="O41" s="8">
        <v>58465.120000000003</v>
      </c>
      <c r="P41" s="3" t="s">
        <v>0</v>
      </c>
      <c r="Q41" s="3" t="s">
        <v>5</v>
      </c>
    </row>
    <row r="42" spans="1:17" x14ac:dyDescent="0.25">
      <c r="A42" s="3" t="s">
        <v>276</v>
      </c>
      <c r="B42" s="3" t="s">
        <v>277</v>
      </c>
      <c r="C42" s="3" t="s">
        <v>37</v>
      </c>
      <c r="D42" s="3" t="s">
        <v>278</v>
      </c>
      <c r="E42" s="3" t="s">
        <v>279</v>
      </c>
      <c r="F42" s="3" t="s">
        <v>44</v>
      </c>
      <c r="G42" s="15">
        <v>46133</v>
      </c>
      <c r="H42" s="16">
        <f t="shared" si="0"/>
        <v>147</v>
      </c>
      <c r="I42" s="16" t="str">
        <f t="shared" si="1"/>
        <v>121 à 180 dias</v>
      </c>
      <c r="J42" s="4">
        <v>2</v>
      </c>
      <c r="K42" s="5">
        <v>1044.48</v>
      </c>
      <c r="L42" s="9">
        <v>61.83</v>
      </c>
      <c r="M42" s="5">
        <v>1106.31</v>
      </c>
      <c r="N42" s="5">
        <v>6472.63</v>
      </c>
      <c r="O42" s="7">
        <v>118548.48</v>
      </c>
      <c r="P42" s="3" t="s">
        <v>0</v>
      </c>
      <c r="Q42" s="3" t="s">
        <v>5</v>
      </c>
    </row>
    <row r="43" spans="1:17" x14ac:dyDescent="0.25">
      <c r="A43" s="3" t="s">
        <v>280</v>
      </c>
      <c r="B43" s="3" t="s">
        <v>281</v>
      </c>
      <c r="C43" s="3" t="s">
        <v>94</v>
      </c>
      <c r="D43" s="3" t="s">
        <v>282</v>
      </c>
      <c r="E43" s="3" t="s">
        <v>283</v>
      </c>
      <c r="F43" s="3" t="s">
        <v>34</v>
      </c>
      <c r="G43" s="15">
        <v>46133</v>
      </c>
      <c r="H43" s="16">
        <f t="shared" si="0"/>
        <v>178</v>
      </c>
      <c r="I43" s="16" t="str">
        <f t="shared" si="1"/>
        <v>121 à 180 dias</v>
      </c>
      <c r="J43" s="4">
        <v>6</v>
      </c>
      <c r="K43" s="5">
        <v>3913.74</v>
      </c>
      <c r="L43" s="6">
        <v>212.28</v>
      </c>
      <c r="M43" s="5">
        <v>4126.0200000000004</v>
      </c>
      <c r="N43" s="5">
        <v>1956.87</v>
      </c>
      <c r="O43" s="7">
        <v>154592.73000000001</v>
      </c>
      <c r="P43" s="3" t="s">
        <v>0</v>
      </c>
      <c r="Q43" s="3" t="s">
        <v>5</v>
      </c>
    </row>
    <row r="44" spans="1:17" x14ac:dyDescent="0.25">
      <c r="A44" s="3" t="s">
        <v>284</v>
      </c>
      <c r="B44" s="3" t="s">
        <v>285</v>
      </c>
      <c r="C44" s="3" t="s">
        <v>25</v>
      </c>
      <c r="D44" s="3" t="s">
        <v>286</v>
      </c>
      <c r="E44" s="3" t="s">
        <v>287</v>
      </c>
      <c r="F44" s="3" t="s">
        <v>112</v>
      </c>
      <c r="G44" s="15">
        <v>46133</v>
      </c>
      <c r="H44" s="16">
        <f t="shared" si="0"/>
        <v>167</v>
      </c>
      <c r="I44" s="16" t="str">
        <f t="shared" si="1"/>
        <v>121 à 180 dias</v>
      </c>
      <c r="J44" s="11">
        <v>11</v>
      </c>
      <c r="K44" s="8">
        <v>15058.13</v>
      </c>
      <c r="L44" s="6">
        <v>801.23</v>
      </c>
      <c r="M44" s="8">
        <v>15859.36</v>
      </c>
      <c r="N44" s="8">
        <v>59671.07</v>
      </c>
      <c r="O44" s="7">
        <v>213219.47</v>
      </c>
      <c r="P44" s="3" t="s">
        <v>0</v>
      </c>
      <c r="Q44" s="3" t="s">
        <v>5</v>
      </c>
    </row>
    <row r="45" spans="1:17" x14ac:dyDescent="0.25">
      <c r="A45" s="3" t="s">
        <v>288</v>
      </c>
      <c r="B45" s="3" t="s">
        <v>289</v>
      </c>
      <c r="C45" s="3" t="s">
        <v>120</v>
      </c>
      <c r="D45" s="3" t="s">
        <v>290</v>
      </c>
      <c r="E45" s="3" t="s">
        <v>291</v>
      </c>
      <c r="F45" s="3" t="s">
        <v>266</v>
      </c>
      <c r="G45" s="15">
        <v>46133</v>
      </c>
      <c r="H45" s="16">
        <f t="shared" si="0"/>
        <v>171</v>
      </c>
      <c r="I45" s="16" t="str">
        <f t="shared" si="1"/>
        <v>121 à 180 dias</v>
      </c>
      <c r="J45" s="4">
        <v>3</v>
      </c>
      <c r="K45" s="5">
        <v>4940.5200000000004</v>
      </c>
      <c r="L45" s="6">
        <v>296.22000000000003</v>
      </c>
      <c r="M45" s="5">
        <v>5236.74</v>
      </c>
      <c r="N45" s="7">
        <v>102849.97</v>
      </c>
      <c r="O45" s="7">
        <v>258170.79</v>
      </c>
      <c r="P45" s="3" t="s">
        <v>0</v>
      </c>
      <c r="Q45" s="3" t="s">
        <v>5</v>
      </c>
    </row>
    <row r="46" spans="1:17" x14ac:dyDescent="0.25">
      <c r="A46" s="3" t="s">
        <v>292</v>
      </c>
      <c r="B46" s="3" t="s">
        <v>293</v>
      </c>
      <c r="C46" s="3" t="s">
        <v>37</v>
      </c>
      <c r="D46" s="3" t="s">
        <v>294</v>
      </c>
      <c r="E46" s="3" t="s">
        <v>295</v>
      </c>
      <c r="F46" s="3" t="s">
        <v>75</v>
      </c>
      <c r="G46" s="15">
        <v>46133</v>
      </c>
      <c r="H46" s="16">
        <f t="shared" si="0"/>
        <v>157</v>
      </c>
      <c r="I46" s="16" t="str">
        <f t="shared" si="1"/>
        <v>121 à 180 dias</v>
      </c>
      <c r="J46" s="11">
        <v>10</v>
      </c>
      <c r="K46" s="5">
        <v>4747.58</v>
      </c>
      <c r="L46" s="6">
        <v>217.63</v>
      </c>
      <c r="M46" s="5">
        <v>4965.21</v>
      </c>
      <c r="N46" s="8">
        <v>26067.99</v>
      </c>
      <c r="O46" s="7">
        <v>117666.23</v>
      </c>
      <c r="P46" s="3" t="s">
        <v>0</v>
      </c>
      <c r="Q46" s="3" t="s">
        <v>5</v>
      </c>
    </row>
    <row r="47" spans="1:17" x14ac:dyDescent="0.25">
      <c r="A47" s="3" t="s">
        <v>296</v>
      </c>
      <c r="B47" s="3" t="s">
        <v>297</v>
      </c>
      <c r="C47" s="3" t="s">
        <v>31</v>
      </c>
      <c r="D47" s="3" t="s">
        <v>298</v>
      </c>
      <c r="E47" s="3" t="s">
        <v>299</v>
      </c>
      <c r="F47" s="3" t="s">
        <v>34</v>
      </c>
      <c r="G47" s="15">
        <v>46133</v>
      </c>
      <c r="H47" s="16">
        <f t="shared" si="0"/>
        <v>178</v>
      </c>
      <c r="I47" s="16" t="str">
        <f t="shared" si="1"/>
        <v>121 à 180 dias</v>
      </c>
      <c r="J47" s="4">
        <v>6</v>
      </c>
      <c r="K47" s="5">
        <v>6000</v>
      </c>
      <c r="L47" s="6">
        <v>322</v>
      </c>
      <c r="M47" s="5">
        <v>6322</v>
      </c>
      <c r="N47" s="5">
        <v>5000</v>
      </c>
      <c r="O47" s="7">
        <v>180110</v>
      </c>
      <c r="P47" s="3" t="s">
        <v>0</v>
      </c>
      <c r="Q47" s="3" t="s">
        <v>5</v>
      </c>
    </row>
    <row r="48" spans="1:17" x14ac:dyDescent="0.25">
      <c r="A48" s="3" t="s">
        <v>300</v>
      </c>
      <c r="B48" s="3" t="s">
        <v>301</v>
      </c>
      <c r="C48" s="3" t="s">
        <v>50</v>
      </c>
      <c r="D48" s="3" t="s">
        <v>302</v>
      </c>
      <c r="E48" s="3" t="s">
        <v>303</v>
      </c>
      <c r="F48" s="3" t="s">
        <v>44</v>
      </c>
      <c r="G48" s="15">
        <v>46133</v>
      </c>
      <c r="H48" s="16">
        <f t="shared" si="0"/>
        <v>147</v>
      </c>
      <c r="I48" s="16" t="str">
        <f t="shared" si="1"/>
        <v>121 à 180 dias</v>
      </c>
      <c r="J48" s="4">
        <v>1</v>
      </c>
      <c r="K48" s="5">
        <v>2512.6999999999998</v>
      </c>
      <c r="L48" s="6">
        <v>188.83</v>
      </c>
      <c r="M48" s="5">
        <v>2701.53</v>
      </c>
      <c r="N48" s="8">
        <v>13234.2</v>
      </c>
      <c r="O48" s="7">
        <v>230717.34</v>
      </c>
      <c r="P48" s="3" t="s">
        <v>0</v>
      </c>
      <c r="Q48" s="3" t="s">
        <v>5</v>
      </c>
    </row>
    <row r="49" spans="1:17" x14ac:dyDescent="0.25">
      <c r="A49" s="3" t="s">
        <v>304</v>
      </c>
      <c r="B49" s="3" t="s">
        <v>305</v>
      </c>
      <c r="C49" s="3" t="s">
        <v>31</v>
      </c>
      <c r="D49" s="3" t="s">
        <v>306</v>
      </c>
      <c r="E49" s="3" t="s">
        <v>27</v>
      </c>
      <c r="F49" s="3" t="s">
        <v>307</v>
      </c>
      <c r="G49" s="15">
        <v>46133</v>
      </c>
      <c r="H49" s="16">
        <f t="shared" si="0"/>
        <v>144</v>
      </c>
      <c r="I49" s="16" t="str">
        <f t="shared" si="1"/>
        <v>121 à 180 dias</v>
      </c>
      <c r="J49" s="4">
        <v>9</v>
      </c>
      <c r="K49" s="5">
        <v>6151.08</v>
      </c>
      <c r="L49" s="6">
        <v>256.82</v>
      </c>
      <c r="M49" s="5">
        <v>6407.9</v>
      </c>
      <c r="N49" s="8">
        <v>13484.36</v>
      </c>
      <c r="O49" s="7">
        <v>189662.62</v>
      </c>
      <c r="P49" s="3" t="s">
        <v>0</v>
      </c>
      <c r="Q49" s="3" t="s">
        <v>5</v>
      </c>
    </row>
    <row r="50" spans="1:17" x14ac:dyDescent="0.25">
      <c r="A50" s="3" t="s">
        <v>308</v>
      </c>
      <c r="B50" s="3" t="s">
        <v>309</v>
      </c>
      <c r="C50" s="3" t="s">
        <v>128</v>
      </c>
      <c r="D50" s="3" t="s">
        <v>310</v>
      </c>
      <c r="E50" s="3" t="s">
        <v>311</v>
      </c>
      <c r="F50" s="3" t="s">
        <v>135</v>
      </c>
      <c r="G50" s="15">
        <v>46133</v>
      </c>
      <c r="H50" s="16">
        <f t="shared" si="0"/>
        <v>132</v>
      </c>
      <c r="I50" s="16" t="str">
        <f t="shared" si="1"/>
        <v>121 à 180 dias</v>
      </c>
      <c r="J50" s="4">
        <v>1</v>
      </c>
      <c r="K50" s="6">
        <v>797.17</v>
      </c>
      <c r="L50" s="9">
        <v>52.21</v>
      </c>
      <c r="M50" s="6">
        <v>849.38</v>
      </c>
      <c r="N50" s="7">
        <v>160840.75</v>
      </c>
      <c r="O50" s="7">
        <v>139878.97</v>
      </c>
      <c r="P50" s="3" t="s">
        <v>0</v>
      </c>
      <c r="Q50" s="3" t="s">
        <v>5</v>
      </c>
    </row>
    <row r="51" spans="1:17" x14ac:dyDescent="0.25">
      <c r="A51" s="3" t="s">
        <v>312</v>
      </c>
      <c r="B51" s="3" t="s">
        <v>313</v>
      </c>
      <c r="C51" s="3" t="s">
        <v>37</v>
      </c>
      <c r="D51" s="3" t="s">
        <v>314</v>
      </c>
      <c r="E51" s="3" t="s">
        <v>315</v>
      </c>
      <c r="F51" s="3" t="s">
        <v>44</v>
      </c>
      <c r="G51" s="15">
        <v>46133</v>
      </c>
      <c r="H51" s="16">
        <f t="shared" si="0"/>
        <v>147</v>
      </c>
      <c r="I51" s="16" t="str">
        <f t="shared" si="1"/>
        <v>121 à 180 dias</v>
      </c>
      <c r="J51" s="4">
        <v>5</v>
      </c>
      <c r="K51" s="5">
        <v>2400.35</v>
      </c>
      <c r="L51" s="6">
        <v>126.72</v>
      </c>
      <c r="M51" s="5">
        <v>2527.0700000000002</v>
      </c>
      <c r="N51" s="8">
        <v>12931.27</v>
      </c>
      <c r="O51" s="7">
        <v>101774.84</v>
      </c>
      <c r="P51" s="3" t="s">
        <v>0</v>
      </c>
      <c r="Q51" s="3" t="s">
        <v>5</v>
      </c>
    </row>
    <row r="52" spans="1:17" x14ac:dyDescent="0.25">
      <c r="A52" s="3" t="s">
        <v>316</v>
      </c>
      <c r="B52" s="3" t="s">
        <v>317</v>
      </c>
      <c r="C52" s="3" t="s">
        <v>50</v>
      </c>
      <c r="D52" s="3" t="s">
        <v>318</v>
      </c>
      <c r="E52" s="3" t="s">
        <v>319</v>
      </c>
      <c r="F52" s="3" t="s">
        <v>44</v>
      </c>
      <c r="G52" s="15">
        <v>46133</v>
      </c>
      <c r="H52" s="16">
        <f t="shared" si="0"/>
        <v>147</v>
      </c>
      <c r="I52" s="16" t="str">
        <f t="shared" si="1"/>
        <v>121 à 180 dias</v>
      </c>
      <c r="J52" s="4">
        <v>5</v>
      </c>
      <c r="K52" s="5">
        <v>5683.7</v>
      </c>
      <c r="L52" s="6">
        <v>280.38</v>
      </c>
      <c r="M52" s="5">
        <v>6092.89</v>
      </c>
      <c r="N52" s="5">
        <v>9716.85</v>
      </c>
      <c r="O52" s="7">
        <v>262586.94</v>
      </c>
      <c r="P52" s="3" t="s">
        <v>0</v>
      </c>
      <c r="Q52" s="3" t="s">
        <v>5</v>
      </c>
    </row>
    <row r="53" spans="1:17" x14ac:dyDescent="0.25">
      <c r="A53" s="3" t="s">
        <v>320</v>
      </c>
      <c r="B53" s="3" t="s">
        <v>321</v>
      </c>
      <c r="C53" s="3" t="s">
        <v>37</v>
      </c>
      <c r="D53" s="3" t="s">
        <v>322</v>
      </c>
      <c r="E53" s="3" t="s">
        <v>323</v>
      </c>
      <c r="F53" s="3" t="s">
        <v>44</v>
      </c>
      <c r="G53" s="15">
        <v>46133</v>
      </c>
      <c r="H53" s="16">
        <f t="shared" si="0"/>
        <v>147</v>
      </c>
      <c r="I53" s="16" t="str">
        <f t="shared" si="1"/>
        <v>121 à 180 dias</v>
      </c>
      <c r="J53" s="4">
        <v>4</v>
      </c>
      <c r="K53" s="5">
        <v>3000.64</v>
      </c>
      <c r="L53" s="6">
        <v>140.11000000000001</v>
      </c>
      <c r="M53" s="5">
        <v>3140.75</v>
      </c>
      <c r="N53" s="5">
        <v>7835.47</v>
      </c>
      <c r="O53" s="8">
        <v>81767.44</v>
      </c>
      <c r="P53" s="3" t="s">
        <v>0</v>
      </c>
      <c r="Q53" s="3" t="s">
        <v>5</v>
      </c>
    </row>
    <row r="54" spans="1:17" x14ac:dyDescent="0.25">
      <c r="A54" s="3" t="s">
        <v>324</v>
      </c>
      <c r="B54" s="3" t="s">
        <v>321</v>
      </c>
      <c r="C54" s="3" t="s">
        <v>37</v>
      </c>
      <c r="D54" s="3" t="s">
        <v>325</v>
      </c>
      <c r="E54" s="3" t="s">
        <v>326</v>
      </c>
      <c r="F54" s="3" t="s">
        <v>44</v>
      </c>
      <c r="G54" s="15">
        <v>46133</v>
      </c>
      <c r="H54" s="16">
        <f t="shared" si="0"/>
        <v>147</v>
      </c>
      <c r="I54" s="16" t="str">
        <f t="shared" si="1"/>
        <v>121 à 180 dias</v>
      </c>
      <c r="J54" s="4">
        <v>4</v>
      </c>
      <c r="K54" s="5">
        <v>2997.82</v>
      </c>
      <c r="L54" s="6">
        <v>139.25</v>
      </c>
      <c r="M54" s="5">
        <v>3137.07</v>
      </c>
      <c r="N54" s="5">
        <v>4375.28</v>
      </c>
      <c r="O54" s="7">
        <v>177367.72</v>
      </c>
      <c r="P54" s="3" t="s">
        <v>0</v>
      </c>
      <c r="Q54" s="3" t="s">
        <v>5</v>
      </c>
    </row>
    <row r="55" spans="1:17" x14ac:dyDescent="0.25">
      <c r="A55" s="3" t="s">
        <v>327</v>
      </c>
      <c r="B55" s="3" t="s">
        <v>328</v>
      </c>
      <c r="C55" s="3" t="s">
        <v>128</v>
      </c>
      <c r="D55" s="3" t="s">
        <v>329</v>
      </c>
      <c r="E55" s="3" t="s">
        <v>330</v>
      </c>
      <c r="F55" s="3" t="s">
        <v>53</v>
      </c>
      <c r="G55" s="15">
        <v>46133</v>
      </c>
      <c r="H55" s="16">
        <f t="shared" si="0"/>
        <v>162</v>
      </c>
      <c r="I55" s="16" t="str">
        <f t="shared" si="1"/>
        <v>121 à 180 dias</v>
      </c>
      <c r="J55" s="4">
        <v>3</v>
      </c>
      <c r="K55" s="5">
        <v>5832.61</v>
      </c>
      <c r="L55" s="6">
        <v>412.89</v>
      </c>
      <c r="M55" s="5">
        <v>6245.5</v>
      </c>
      <c r="N55" s="8">
        <v>40452.019999999997</v>
      </c>
      <c r="O55" s="7">
        <v>367914.1</v>
      </c>
      <c r="P55" s="3" t="s">
        <v>0</v>
      </c>
      <c r="Q55" s="3" t="s">
        <v>5</v>
      </c>
    </row>
    <row r="56" spans="1:17" x14ac:dyDescent="0.25">
      <c r="A56" s="3" t="s">
        <v>331</v>
      </c>
      <c r="B56" s="3" t="s">
        <v>332</v>
      </c>
      <c r="C56" s="3" t="s">
        <v>50</v>
      </c>
      <c r="D56" s="3" t="s">
        <v>333</v>
      </c>
      <c r="E56" s="3" t="s">
        <v>334</v>
      </c>
      <c r="F56" s="3" t="s">
        <v>75</v>
      </c>
      <c r="G56" s="15">
        <v>46133</v>
      </c>
      <c r="H56" s="16">
        <f t="shared" si="0"/>
        <v>157</v>
      </c>
      <c r="I56" s="16" t="str">
        <f t="shared" si="1"/>
        <v>121 à 180 dias</v>
      </c>
      <c r="J56" s="4">
        <v>6</v>
      </c>
      <c r="K56" s="5">
        <v>6098.1</v>
      </c>
      <c r="L56" s="6">
        <v>292.05</v>
      </c>
      <c r="M56" s="5">
        <v>6498.55</v>
      </c>
      <c r="N56" s="8">
        <v>43023.76</v>
      </c>
      <c r="O56" s="7">
        <v>204286.35</v>
      </c>
      <c r="P56" s="3" t="s">
        <v>0</v>
      </c>
      <c r="Q56" s="3" t="s">
        <v>5</v>
      </c>
    </row>
    <row r="57" spans="1:17" x14ac:dyDescent="0.25">
      <c r="A57" s="3" t="s">
        <v>97</v>
      </c>
      <c r="B57" s="3" t="s">
        <v>335</v>
      </c>
      <c r="C57" s="3" t="s">
        <v>25</v>
      </c>
      <c r="D57" s="3" t="s">
        <v>336</v>
      </c>
      <c r="E57" s="3" t="s">
        <v>337</v>
      </c>
      <c r="F57" s="3" t="s">
        <v>338</v>
      </c>
      <c r="G57" s="15">
        <v>46133</v>
      </c>
      <c r="H57" s="16">
        <f t="shared" si="0"/>
        <v>145</v>
      </c>
      <c r="I57" s="16" t="str">
        <f t="shared" si="1"/>
        <v>121 à 180 dias</v>
      </c>
      <c r="J57" s="4">
        <v>2</v>
      </c>
      <c r="K57" s="5">
        <v>2795.98</v>
      </c>
      <c r="L57" s="6">
        <v>138.44</v>
      </c>
      <c r="M57" s="5">
        <v>2934.42</v>
      </c>
      <c r="N57" s="8">
        <v>76349.16</v>
      </c>
      <c r="O57" s="8">
        <v>13979.9</v>
      </c>
      <c r="P57" s="3" t="s">
        <v>0</v>
      </c>
      <c r="Q57" s="3" t="s">
        <v>5</v>
      </c>
    </row>
    <row r="58" spans="1:17" x14ac:dyDescent="0.25">
      <c r="A58" s="3" t="s">
        <v>339</v>
      </c>
      <c r="B58" s="3" t="s">
        <v>340</v>
      </c>
      <c r="C58" s="3" t="s">
        <v>37</v>
      </c>
      <c r="D58" s="3" t="s">
        <v>341</v>
      </c>
      <c r="E58" s="3" t="s">
        <v>342</v>
      </c>
      <c r="F58" s="3" t="s">
        <v>75</v>
      </c>
      <c r="G58" s="15">
        <v>46133</v>
      </c>
      <c r="H58" s="16">
        <f t="shared" si="0"/>
        <v>157</v>
      </c>
      <c r="I58" s="16" t="str">
        <f t="shared" si="1"/>
        <v>121 à 180 dias</v>
      </c>
      <c r="J58" s="4">
        <v>4</v>
      </c>
      <c r="K58" s="5">
        <v>2210.36</v>
      </c>
      <c r="L58" s="6">
        <v>109.81</v>
      </c>
      <c r="M58" s="5">
        <v>2320.17</v>
      </c>
      <c r="N58" s="5">
        <v>4780.55</v>
      </c>
      <c r="O58" s="7">
        <v>127648.29</v>
      </c>
      <c r="P58" s="3" t="s">
        <v>0</v>
      </c>
      <c r="Q58" s="3" t="s">
        <v>5</v>
      </c>
    </row>
    <row r="59" spans="1:17" x14ac:dyDescent="0.25">
      <c r="A59" s="3" t="s">
        <v>343</v>
      </c>
      <c r="B59" s="3" t="s">
        <v>344</v>
      </c>
      <c r="C59" s="3" t="s">
        <v>190</v>
      </c>
      <c r="D59" s="3" t="s">
        <v>345</v>
      </c>
      <c r="E59" s="3" t="s">
        <v>346</v>
      </c>
      <c r="F59" s="3" t="s">
        <v>338</v>
      </c>
      <c r="G59" s="15">
        <v>46133</v>
      </c>
      <c r="H59" s="16">
        <f t="shared" si="0"/>
        <v>145</v>
      </c>
      <c r="I59" s="16" t="str">
        <f t="shared" si="1"/>
        <v>121 à 180 dias</v>
      </c>
      <c r="J59" s="4">
        <v>4</v>
      </c>
      <c r="K59" s="5">
        <v>7727.58</v>
      </c>
      <c r="L59" s="6">
        <v>382.07</v>
      </c>
      <c r="M59" s="5">
        <v>8237.75</v>
      </c>
      <c r="N59" s="5">
        <v>5541.66</v>
      </c>
      <c r="O59" s="7">
        <v>300181.14</v>
      </c>
      <c r="P59" s="3" t="s">
        <v>0</v>
      </c>
      <c r="Q59" s="3" t="s">
        <v>5</v>
      </c>
    </row>
    <row r="60" spans="1:17" x14ac:dyDescent="0.25">
      <c r="A60" s="3" t="s">
        <v>347</v>
      </c>
      <c r="B60" s="3" t="s">
        <v>348</v>
      </c>
      <c r="C60" s="3" t="s">
        <v>349</v>
      </c>
      <c r="D60" s="3" t="s">
        <v>350</v>
      </c>
      <c r="E60" s="3" t="s">
        <v>351</v>
      </c>
      <c r="F60" s="3" t="s">
        <v>34</v>
      </c>
      <c r="G60" s="15">
        <v>46133</v>
      </c>
      <c r="H60" s="16">
        <f t="shared" si="0"/>
        <v>178</v>
      </c>
      <c r="I60" s="16" t="str">
        <f t="shared" si="1"/>
        <v>121 à 180 dias</v>
      </c>
      <c r="J60" s="4">
        <v>4</v>
      </c>
      <c r="K60" s="5">
        <v>4893.17</v>
      </c>
      <c r="L60" s="6">
        <v>323.44</v>
      </c>
      <c r="M60" s="5">
        <v>5216.6099999999997</v>
      </c>
      <c r="N60" s="8">
        <v>29647.81</v>
      </c>
      <c r="O60" s="7">
        <v>202660.14</v>
      </c>
      <c r="P60" s="3" t="s">
        <v>0</v>
      </c>
      <c r="Q60" s="3" t="s">
        <v>5</v>
      </c>
    </row>
    <row r="61" spans="1:17" x14ac:dyDescent="0.25">
      <c r="A61" s="3" t="s">
        <v>352</v>
      </c>
      <c r="B61" s="3" t="s">
        <v>353</v>
      </c>
      <c r="C61" s="3" t="s">
        <v>128</v>
      </c>
      <c r="D61" s="3" t="s">
        <v>354</v>
      </c>
      <c r="E61" s="3" t="s">
        <v>355</v>
      </c>
      <c r="F61" s="3" t="s">
        <v>135</v>
      </c>
      <c r="G61" s="15">
        <v>46133</v>
      </c>
      <c r="H61" s="16">
        <f t="shared" si="0"/>
        <v>132</v>
      </c>
      <c r="I61" s="16" t="str">
        <f t="shared" si="1"/>
        <v>121 à 180 dias</v>
      </c>
      <c r="J61" s="4">
        <v>3</v>
      </c>
      <c r="K61" s="5">
        <v>6499.59</v>
      </c>
      <c r="L61" s="6">
        <v>304.22000000000003</v>
      </c>
      <c r="M61" s="5">
        <v>6803.81</v>
      </c>
      <c r="N61" s="7">
        <v>158167.51999999999</v>
      </c>
      <c r="O61" s="7">
        <v>186321.58</v>
      </c>
      <c r="P61" s="3" t="s">
        <v>0</v>
      </c>
      <c r="Q61" s="3" t="s">
        <v>5</v>
      </c>
    </row>
    <row r="62" spans="1:17" x14ac:dyDescent="0.25">
      <c r="A62" s="3" t="s">
        <v>356</v>
      </c>
      <c r="B62" s="3" t="s">
        <v>357</v>
      </c>
      <c r="C62" s="3" t="s">
        <v>25</v>
      </c>
      <c r="D62" s="3" t="s">
        <v>358</v>
      </c>
      <c r="E62" s="3" t="s">
        <v>359</v>
      </c>
      <c r="F62" s="3" t="s">
        <v>53</v>
      </c>
      <c r="G62" s="15">
        <v>46133</v>
      </c>
      <c r="H62" s="16">
        <f t="shared" si="0"/>
        <v>162</v>
      </c>
      <c r="I62" s="16" t="str">
        <f t="shared" si="1"/>
        <v>121 à 180 dias</v>
      </c>
      <c r="J62" s="4">
        <v>1</v>
      </c>
      <c r="K62" s="6">
        <v>732.99</v>
      </c>
      <c r="L62" s="9">
        <v>54.54</v>
      </c>
      <c r="M62" s="6">
        <v>787.53</v>
      </c>
      <c r="N62" s="8">
        <v>48520.28</v>
      </c>
      <c r="O62" s="8">
        <v>29319.599999999999</v>
      </c>
      <c r="P62" s="3" t="s">
        <v>0</v>
      </c>
      <c r="Q62" s="3" t="s">
        <v>5</v>
      </c>
    </row>
    <row r="63" spans="1:17" x14ac:dyDescent="0.25">
      <c r="A63" s="3" t="s">
        <v>360</v>
      </c>
      <c r="B63" s="3" t="s">
        <v>361</v>
      </c>
      <c r="C63" s="3" t="s">
        <v>50</v>
      </c>
      <c r="D63" s="3" t="s">
        <v>362</v>
      </c>
      <c r="E63" s="3" t="s">
        <v>363</v>
      </c>
      <c r="F63" s="3" t="s">
        <v>364</v>
      </c>
      <c r="G63" s="15">
        <v>46133</v>
      </c>
      <c r="H63" s="16">
        <f t="shared" si="0"/>
        <v>138</v>
      </c>
      <c r="I63" s="16" t="str">
        <f t="shared" si="1"/>
        <v>121 à 180 dias</v>
      </c>
      <c r="J63" s="4">
        <v>2</v>
      </c>
      <c r="K63" s="5">
        <v>3811.51</v>
      </c>
      <c r="L63" s="6">
        <v>170.15</v>
      </c>
      <c r="M63" s="5">
        <v>4016.8</v>
      </c>
      <c r="N63" s="8">
        <v>14738</v>
      </c>
      <c r="O63" s="7">
        <v>316994.01</v>
      </c>
      <c r="P63" s="3" t="s">
        <v>0</v>
      </c>
      <c r="Q63" s="3" t="s">
        <v>5</v>
      </c>
    </row>
    <row r="64" spans="1:17" x14ac:dyDescent="0.25">
      <c r="A64" s="3" t="s">
        <v>365</v>
      </c>
      <c r="B64" s="3" t="s">
        <v>366</v>
      </c>
      <c r="C64" s="3" t="s">
        <v>190</v>
      </c>
      <c r="D64" s="3" t="s">
        <v>367</v>
      </c>
      <c r="E64" s="3" t="s">
        <v>368</v>
      </c>
      <c r="F64" s="3" t="s">
        <v>44</v>
      </c>
      <c r="G64" s="15">
        <v>46133</v>
      </c>
      <c r="H64" s="16">
        <f t="shared" si="0"/>
        <v>147</v>
      </c>
      <c r="I64" s="16" t="str">
        <f t="shared" si="1"/>
        <v>121 à 180 dias</v>
      </c>
      <c r="J64" s="4">
        <v>6</v>
      </c>
      <c r="K64" s="8">
        <v>17333.32</v>
      </c>
      <c r="L64" s="6">
        <v>787.56</v>
      </c>
      <c r="M64" s="5">
        <v>18183.599999999999</v>
      </c>
      <c r="N64" s="5">
        <v>2666.66</v>
      </c>
      <c r="O64" s="7">
        <v>149333.32</v>
      </c>
      <c r="P64" s="3" t="s">
        <v>0</v>
      </c>
      <c r="Q64" s="3" t="s">
        <v>5</v>
      </c>
    </row>
    <row r="65" spans="1:17" x14ac:dyDescent="0.25">
      <c r="A65" s="3" t="s">
        <v>369</v>
      </c>
      <c r="B65" s="3" t="s">
        <v>370</v>
      </c>
      <c r="C65" s="3" t="s">
        <v>25</v>
      </c>
      <c r="D65" s="3" t="s">
        <v>371</v>
      </c>
      <c r="E65" s="3" t="s">
        <v>372</v>
      </c>
      <c r="F65" s="3" t="s">
        <v>62</v>
      </c>
      <c r="G65" s="15">
        <v>46133</v>
      </c>
      <c r="H65" s="16">
        <f t="shared" si="0"/>
        <v>137</v>
      </c>
      <c r="I65" s="16" t="str">
        <f t="shared" si="1"/>
        <v>121 à 180 dias</v>
      </c>
      <c r="J65" s="4">
        <v>1</v>
      </c>
      <c r="K65" s="5">
        <v>2913.35</v>
      </c>
      <c r="L65" s="6">
        <v>192.28</v>
      </c>
      <c r="M65" s="5">
        <v>3105.63</v>
      </c>
      <c r="N65" s="8">
        <v>54168.11</v>
      </c>
      <c r="O65" s="8">
        <v>43381.75</v>
      </c>
      <c r="P65" s="3" t="s">
        <v>0</v>
      </c>
      <c r="Q65" s="3" t="s">
        <v>5</v>
      </c>
    </row>
    <row r="66" spans="1:17" x14ac:dyDescent="0.25">
      <c r="A66" s="3" t="s">
        <v>373</v>
      </c>
      <c r="B66" s="3" t="s">
        <v>374</v>
      </c>
      <c r="C66" s="3" t="s">
        <v>37</v>
      </c>
      <c r="D66" s="3" t="s">
        <v>375</v>
      </c>
      <c r="E66" s="3" t="s">
        <v>376</v>
      </c>
      <c r="F66" s="3" t="s">
        <v>75</v>
      </c>
      <c r="G66" s="15">
        <v>46133</v>
      </c>
      <c r="H66" s="16">
        <f t="shared" ref="H66:H129" si="2">G66-F66</f>
        <v>157</v>
      </c>
      <c r="I66" s="16" t="str">
        <f t="shared" ref="I66:I129" si="3">+IF(H66&lt;35,"Adimplente",IF(H66&lt;=60,"35 à 60 dias",IF(H66&lt;=90,"61 à 90 dias",IF(H66&lt;=120,"91 à 120 dias",IF(H66&lt;=180,"121 à 180 dias",IF(H66&lt;=240,"181 à 240 dias",IF(H66&lt;=365,"241 à 365 dias","Maior 365 dias")))))))</f>
        <v>121 à 180 dias</v>
      </c>
      <c r="J66" s="4">
        <v>4</v>
      </c>
      <c r="K66" s="5">
        <v>2133.52</v>
      </c>
      <c r="L66" s="6">
        <v>114.4</v>
      </c>
      <c r="M66" s="5">
        <v>2247.92</v>
      </c>
      <c r="N66" s="5">
        <v>6656.92</v>
      </c>
      <c r="O66" s="7">
        <v>121610.64</v>
      </c>
      <c r="P66" s="3" t="s">
        <v>0</v>
      </c>
      <c r="Q66" s="3" t="s">
        <v>5</v>
      </c>
    </row>
    <row r="67" spans="1:17" x14ac:dyDescent="0.25">
      <c r="A67" s="3" t="s">
        <v>377</v>
      </c>
      <c r="B67" s="3" t="s">
        <v>378</v>
      </c>
      <c r="C67" s="3" t="s">
        <v>50</v>
      </c>
      <c r="D67" s="3" t="s">
        <v>379</v>
      </c>
      <c r="E67" s="3" t="s">
        <v>380</v>
      </c>
      <c r="F67" s="3" t="s">
        <v>44</v>
      </c>
      <c r="G67" s="15">
        <v>46133</v>
      </c>
      <c r="H67" s="16">
        <f t="shared" si="2"/>
        <v>147</v>
      </c>
      <c r="I67" s="16" t="str">
        <f t="shared" si="3"/>
        <v>121 à 180 dias</v>
      </c>
      <c r="J67" s="4">
        <v>2</v>
      </c>
      <c r="K67" s="5">
        <v>2388.98</v>
      </c>
      <c r="L67" s="6">
        <v>142.35</v>
      </c>
      <c r="M67" s="5">
        <v>2593.2199999999998</v>
      </c>
      <c r="N67" s="8">
        <v>28740.19</v>
      </c>
      <c r="O67" s="7">
        <v>189853.76</v>
      </c>
      <c r="P67" s="3" t="s">
        <v>0</v>
      </c>
      <c r="Q67" s="3" t="s">
        <v>5</v>
      </c>
    </row>
    <row r="68" spans="1:17" x14ac:dyDescent="0.25">
      <c r="A68" s="3" t="s">
        <v>381</v>
      </c>
      <c r="B68" s="3" t="s">
        <v>382</v>
      </c>
      <c r="C68" s="3" t="s">
        <v>25</v>
      </c>
      <c r="D68" s="3" t="s">
        <v>383</v>
      </c>
      <c r="E68" s="3" t="s">
        <v>384</v>
      </c>
      <c r="F68" s="3" t="s">
        <v>239</v>
      </c>
      <c r="G68" s="15">
        <v>46133</v>
      </c>
      <c r="H68" s="16">
        <f t="shared" si="2"/>
        <v>142</v>
      </c>
      <c r="I68" s="16" t="str">
        <f t="shared" si="3"/>
        <v>121 à 180 dias</v>
      </c>
      <c r="J68" s="4">
        <v>5</v>
      </c>
      <c r="K68" s="5">
        <v>4779.63</v>
      </c>
      <c r="L68" s="6">
        <v>240.71</v>
      </c>
      <c r="M68" s="5">
        <v>5020.34</v>
      </c>
      <c r="N68" s="8">
        <v>47376.56</v>
      </c>
      <c r="O68" s="8">
        <v>43833.21</v>
      </c>
      <c r="P68" s="3" t="s">
        <v>0</v>
      </c>
      <c r="Q68" s="3" t="s">
        <v>5</v>
      </c>
    </row>
    <row r="69" spans="1:17" x14ac:dyDescent="0.25">
      <c r="A69" s="3" t="s">
        <v>385</v>
      </c>
      <c r="B69" s="3" t="s">
        <v>386</v>
      </c>
      <c r="C69" s="3" t="s">
        <v>50</v>
      </c>
      <c r="D69" s="3" t="s">
        <v>387</v>
      </c>
      <c r="E69" s="3" t="s">
        <v>388</v>
      </c>
      <c r="F69" s="3" t="s">
        <v>153</v>
      </c>
      <c r="G69" s="15">
        <v>46133</v>
      </c>
      <c r="H69" s="16">
        <f t="shared" si="2"/>
        <v>152</v>
      </c>
      <c r="I69" s="16" t="str">
        <f t="shared" si="3"/>
        <v>121 à 180 dias</v>
      </c>
      <c r="J69" s="4">
        <v>2</v>
      </c>
      <c r="K69" s="5">
        <v>2217.71</v>
      </c>
      <c r="L69" s="9">
        <v>93.74</v>
      </c>
      <c r="M69" s="5">
        <v>2336.2800000000002</v>
      </c>
      <c r="N69" s="5">
        <v>6488.79</v>
      </c>
      <c r="O69" s="7">
        <v>275903.43</v>
      </c>
      <c r="P69" s="3" t="s">
        <v>0</v>
      </c>
      <c r="Q69" s="3" t="s">
        <v>5</v>
      </c>
    </row>
    <row r="70" spans="1:17" x14ac:dyDescent="0.25">
      <c r="A70" s="3" t="s">
        <v>389</v>
      </c>
      <c r="B70" s="3" t="s">
        <v>390</v>
      </c>
      <c r="C70" s="3" t="s">
        <v>50</v>
      </c>
      <c r="D70" s="3" t="s">
        <v>391</v>
      </c>
      <c r="E70" s="3" t="s">
        <v>392</v>
      </c>
      <c r="F70" s="3" t="s">
        <v>34</v>
      </c>
      <c r="G70" s="15">
        <v>46133</v>
      </c>
      <c r="H70" s="16">
        <f t="shared" si="2"/>
        <v>178</v>
      </c>
      <c r="I70" s="16" t="str">
        <f t="shared" si="3"/>
        <v>121 à 180 dias</v>
      </c>
      <c r="J70" s="11">
        <v>11</v>
      </c>
      <c r="K70" s="8">
        <v>20228.11</v>
      </c>
      <c r="L70" s="5">
        <v>1411.5</v>
      </c>
      <c r="M70" s="5">
        <v>21892.54</v>
      </c>
      <c r="N70" s="5">
        <v>7512.59</v>
      </c>
      <c r="O70" s="7">
        <v>190965.26</v>
      </c>
      <c r="P70" s="3" t="s">
        <v>0</v>
      </c>
      <c r="Q70" s="3" t="s">
        <v>5</v>
      </c>
    </row>
    <row r="71" spans="1:17" x14ac:dyDescent="0.25">
      <c r="A71" s="3" t="s">
        <v>393</v>
      </c>
      <c r="B71" s="3" t="s">
        <v>394</v>
      </c>
      <c r="C71" s="3" t="s">
        <v>128</v>
      </c>
      <c r="D71" s="3" t="s">
        <v>395</v>
      </c>
      <c r="E71" s="3" t="s">
        <v>396</v>
      </c>
      <c r="F71" s="3" t="s">
        <v>153</v>
      </c>
      <c r="G71" s="15">
        <v>46133</v>
      </c>
      <c r="H71" s="16">
        <f t="shared" si="2"/>
        <v>152</v>
      </c>
      <c r="I71" s="16" t="str">
        <f t="shared" si="3"/>
        <v>121 à 180 dias</v>
      </c>
      <c r="J71" s="4">
        <v>2</v>
      </c>
      <c r="K71" s="5">
        <v>6243.92</v>
      </c>
      <c r="L71" s="6">
        <v>281.55</v>
      </c>
      <c r="M71" s="5">
        <v>6525.47</v>
      </c>
      <c r="N71" s="7">
        <v>225720.13</v>
      </c>
      <c r="O71" s="7">
        <v>105965.03</v>
      </c>
      <c r="P71" s="3" t="s">
        <v>0</v>
      </c>
      <c r="Q71" s="3" t="s">
        <v>5</v>
      </c>
    </row>
    <row r="72" spans="1:17" x14ac:dyDescent="0.25">
      <c r="A72" s="3" t="s">
        <v>397</v>
      </c>
      <c r="B72" s="3" t="s">
        <v>398</v>
      </c>
      <c r="C72" s="3" t="s">
        <v>50</v>
      </c>
      <c r="D72" s="3" t="s">
        <v>399</v>
      </c>
      <c r="E72" s="3" t="s">
        <v>400</v>
      </c>
      <c r="F72" s="3" t="s">
        <v>28</v>
      </c>
      <c r="G72" s="15">
        <v>46133</v>
      </c>
      <c r="H72" s="16">
        <f t="shared" si="2"/>
        <v>122</v>
      </c>
      <c r="I72" s="16" t="str">
        <f t="shared" si="3"/>
        <v>121 à 180 dias</v>
      </c>
      <c r="J72" s="4">
        <v>8</v>
      </c>
      <c r="K72" s="8">
        <v>15073.5</v>
      </c>
      <c r="L72" s="6">
        <v>570.07000000000005</v>
      </c>
      <c r="M72" s="5">
        <v>15826.62</v>
      </c>
      <c r="N72" s="8">
        <v>17047.939999999999</v>
      </c>
      <c r="O72" s="7">
        <v>209870.19</v>
      </c>
      <c r="P72" s="3" t="s">
        <v>0</v>
      </c>
      <c r="Q72" s="3" t="s">
        <v>5</v>
      </c>
    </row>
    <row r="73" spans="1:17" x14ac:dyDescent="0.25">
      <c r="A73" s="3" t="s">
        <v>401</v>
      </c>
      <c r="B73" s="3" t="s">
        <v>402</v>
      </c>
      <c r="C73" s="3" t="s">
        <v>50</v>
      </c>
      <c r="D73" s="3" t="s">
        <v>403</v>
      </c>
      <c r="E73" s="3" t="s">
        <v>404</v>
      </c>
      <c r="F73" s="3" t="s">
        <v>44</v>
      </c>
      <c r="G73" s="15">
        <v>46133</v>
      </c>
      <c r="H73" s="16">
        <f t="shared" si="2"/>
        <v>147</v>
      </c>
      <c r="I73" s="16" t="str">
        <f t="shared" si="3"/>
        <v>121 à 180 dias</v>
      </c>
      <c r="J73" s="4">
        <v>5</v>
      </c>
      <c r="K73" s="5">
        <v>6088.35</v>
      </c>
      <c r="L73" s="6">
        <v>301.56</v>
      </c>
      <c r="M73" s="5">
        <v>6529.2</v>
      </c>
      <c r="N73" s="5">
        <v>1217.67</v>
      </c>
      <c r="O73" s="7">
        <v>291023.13</v>
      </c>
      <c r="P73" s="3" t="s">
        <v>0</v>
      </c>
      <c r="Q73" s="3" t="s">
        <v>5</v>
      </c>
    </row>
    <row r="74" spans="1:17" x14ac:dyDescent="0.25">
      <c r="A74" s="3" t="s">
        <v>405</v>
      </c>
      <c r="B74" s="3" t="s">
        <v>406</v>
      </c>
      <c r="C74" s="3" t="s">
        <v>128</v>
      </c>
      <c r="D74" s="3" t="s">
        <v>407</v>
      </c>
      <c r="E74" s="3" t="s">
        <v>408</v>
      </c>
      <c r="F74" s="3" t="s">
        <v>44</v>
      </c>
      <c r="G74" s="15">
        <v>46133</v>
      </c>
      <c r="H74" s="16">
        <f t="shared" si="2"/>
        <v>147</v>
      </c>
      <c r="I74" s="16" t="str">
        <f t="shared" si="3"/>
        <v>121 à 180 dias</v>
      </c>
      <c r="J74" s="4">
        <v>3</v>
      </c>
      <c r="K74" s="5">
        <v>2923.17</v>
      </c>
      <c r="L74" s="6">
        <v>142.6</v>
      </c>
      <c r="M74" s="5">
        <v>3065.77</v>
      </c>
      <c r="N74" s="7">
        <v>116644.39</v>
      </c>
      <c r="O74" s="7">
        <v>104259.73</v>
      </c>
      <c r="P74" s="3" t="s">
        <v>0</v>
      </c>
      <c r="Q74" s="3" t="s">
        <v>5</v>
      </c>
    </row>
    <row r="75" spans="1:17" x14ac:dyDescent="0.25">
      <c r="A75" s="3" t="s">
        <v>409</v>
      </c>
      <c r="B75" s="3" t="s">
        <v>410</v>
      </c>
      <c r="C75" s="3" t="s">
        <v>37</v>
      </c>
      <c r="D75" s="3" t="s">
        <v>411</v>
      </c>
      <c r="E75" s="3" t="s">
        <v>412</v>
      </c>
      <c r="F75" s="3" t="s">
        <v>34</v>
      </c>
      <c r="G75" s="15">
        <v>46133</v>
      </c>
      <c r="H75" s="16">
        <f t="shared" si="2"/>
        <v>178</v>
      </c>
      <c r="I75" s="16" t="str">
        <f t="shared" si="3"/>
        <v>121 à 180 dias</v>
      </c>
      <c r="J75" s="4">
        <v>6</v>
      </c>
      <c r="K75" s="5">
        <v>3396.24</v>
      </c>
      <c r="L75" s="6">
        <v>183.41</v>
      </c>
      <c r="M75" s="5">
        <v>3579.65</v>
      </c>
      <c r="N75" s="5">
        <v>7617.27</v>
      </c>
      <c r="O75" s="7">
        <v>129057.12</v>
      </c>
      <c r="P75" s="3" t="s">
        <v>0</v>
      </c>
      <c r="Q75" s="3" t="s">
        <v>5</v>
      </c>
    </row>
    <row r="76" spans="1:17" x14ac:dyDescent="0.25">
      <c r="A76" s="3" t="s">
        <v>413</v>
      </c>
      <c r="B76" s="3" t="s">
        <v>414</v>
      </c>
      <c r="C76" s="3" t="s">
        <v>25</v>
      </c>
      <c r="D76" s="3" t="s">
        <v>415</v>
      </c>
      <c r="E76" s="3" t="s">
        <v>416</v>
      </c>
      <c r="F76" s="3" t="s">
        <v>271</v>
      </c>
      <c r="G76" s="15">
        <v>46133</v>
      </c>
      <c r="H76" s="16">
        <f t="shared" si="2"/>
        <v>173</v>
      </c>
      <c r="I76" s="16" t="str">
        <f t="shared" si="3"/>
        <v>121 à 180 dias</v>
      </c>
      <c r="J76" s="4">
        <v>3</v>
      </c>
      <c r="K76" s="5">
        <v>3487.38</v>
      </c>
      <c r="L76" s="6">
        <v>191.04</v>
      </c>
      <c r="M76" s="5">
        <v>3678.42</v>
      </c>
      <c r="N76" s="8">
        <v>49072.1</v>
      </c>
      <c r="O76" s="8">
        <v>58123</v>
      </c>
      <c r="P76" s="3" t="s">
        <v>0</v>
      </c>
      <c r="Q76" s="3" t="s">
        <v>5</v>
      </c>
    </row>
    <row r="77" spans="1:17" x14ac:dyDescent="0.25">
      <c r="A77" s="3" t="s">
        <v>417</v>
      </c>
      <c r="B77" s="3" t="s">
        <v>418</v>
      </c>
      <c r="C77" s="3" t="s">
        <v>25</v>
      </c>
      <c r="D77" s="3" t="s">
        <v>419</v>
      </c>
      <c r="E77" s="3" t="s">
        <v>420</v>
      </c>
      <c r="F77" s="3" t="s">
        <v>34</v>
      </c>
      <c r="G77" s="15">
        <v>46133</v>
      </c>
      <c r="H77" s="16">
        <f t="shared" si="2"/>
        <v>178</v>
      </c>
      <c r="I77" s="16" t="str">
        <f t="shared" si="3"/>
        <v>121 à 180 dias</v>
      </c>
      <c r="J77" s="4">
        <v>3</v>
      </c>
      <c r="K77" s="5">
        <v>4170</v>
      </c>
      <c r="L77" s="6">
        <v>204.63</v>
      </c>
      <c r="M77" s="5">
        <v>4374.63</v>
      </c>
      <c r="N77" s="8">
        <v>69968.36</v>
      </c>
      <c r="O77" s="8">
        <v>55600</v>
      </c>
      <c r="P77" s="3" t="s">
        <v>0</v>
      </c>
      <c r="Q77" s="3" t="s">
        <v>5</v>
      </c>
    </row>
    <row r="78" spans="1:17" x14ac:dyDescent="0.25">
      <c r="A78" s="3" t="s">
        <v>421</v>
      </c>
      <c r="B78" s="3" t="s">
        <v>422</v>
      </c>
      <c r="C78" s="3" t="s">
        <v>37</v>
      </c>
      <c r="D78" s="3" t="s">
        <v>423</v>
      </c>
      <c r="E78" s="3" t="s">
        <v>424</v>
      </c>
      <c r="F78" s="3" t="s">
        <v>44</v>
      </c>
      <c r="G78" s="15">
        <v>46133</v>
      </c>
      <c r="H78" s="16">
        <f t="shared" si="2"/>
        <v>147</v>
      </c>
      <c r="I78" s="16" t="str">
        <f t="shared" si="3"/>
        <v>121 à 180 dias</v>
      </c>
      <c r="J78" s="4">
        <v>3</v>
      </c>
      <c r="K78" s="5">
        <v>1796.94</v>
      </c>
      <c r="L78" s="9">
        <v>82.62</v>
      </c>
      <c r="M78" s="5">
        <v>1879.56</v>
      </c>
      <c r="N78" s="5">
        <v>6826.76</v>
      </c>
      <c r="O78" s="7">
        <v>100628.64</v>
      </c>
      <c r="P78" s="3" t="s">
        <v>0</v>
      </c>
      <c r="Q78" s="3" t="s">
        <v>5</v>
      </c>
    </row>
    <row r="79" spans="1:17" x14ac:dyDescent="0.25">
      <c r="A79" s="3" t="s">
        <v>425</v>
      </c>
      <c r="B79" s="3" t="s">
        <v>426</v>
      </c>
      <c r="C79" s="3" t="s">
        <v>37</v>
      </c>
      <c r="D79" s="3" t="s">
        <v>427</v>
      </c>
      <c r="E79" s="3" t="s">
        <v>428</v>
      </c>
      <c r="F79" s="3" t="s">
        <v>75</v>
      </c>
      <c r="G79" s="15">
        <v>46133</v>
      </c>
      <c r="H79" s="16">
        <f t="shared" si="2"/>
        <v>157</v>
      </c>
      <c r="I79" s="16" t="str">
        <f t="shared" si="3"/>
        <v>121 à 180 dias</v>
      </c>
      <c r="J79" s="4">
        <v>8</v>
      </c>
      <c r="K79" s="5">
        <v>4125.16</v>
      </c>
      <c r="L79" s="6">
        <v>210.89</v>
      </c>
      <c r="M79" s="5">
        <v>4336.05</v>
      </c>
      <c r="N79" s="5">
        <v>3975.5</v>
      </c>
      <c r="O79" s="7">
        <v>121106.92</v>
      </c>
      <c r="P79" s="3" t="s">
        <v>0</v>
      </c>
      <c r="Q79" s="3" t="s">
        <v>5</v>
      </c>
    </row>
    <row r="80" spans="1:17" x14ac:dyDescent="0.25">
      <c r="A80" s="3" t="s">
        <v>429</v>
      </c>
      <c r="B80" s="3" t="s">
        <v>430</v>
      </c>
      <c r="C80" s="3" t="s">
        <v>37</v>
      </c>
      <c r="D80" s="3" t="s">
        <v>431</v>
      </c>
      <c r="E80" s="3" t="s">
        <v>323</v>
      </c>
      <c r="F80" s="3" t="s">
        <v>34</v>
      </c>
      <c r="G80" s="15">
        <v>46133</v>
      </c>
      <c r="H80" s="16">
        <f t="shared" si="2"/>
        <v>178</v>
      </c>
      <c r="I80" s="16" t="str">
        <f t="shared" si="3"/>
        <v>121 à 180 dias</v>
      </c>
      <c r="J80" s="4">
        <v>7</v>
      </c>
      <c r="K80" s="5">
        <v>4005.81</v>
      </c>
      <c r="L80" s="6">
        <v>242.47</v>
      </c>
      <c r="M80" s="5">
        <v>4248.28</v>
      </c>
      <c r="N80" s="5">
        <v>3773.51</v>
      </c>
      <c r="O80" s="7">
        <v>115572.06</v>
      </c>
      <c r="P80" s="3" t="s">
        <v>0</v>
      </c>
      <c r="Q80" s="3" t="s">
        <v>5</v>
      </c>
    </row>
    <row r="81" spans="1:17" x14ac:dyDescent="0.25">
      <c r="A81" s="3" t="s">
        <v>432</v>
      </c>
      <c r="B81" s="3" t="s">
        <v>433</v>
      </c>
      <c r="C81" s="3" t="s">
        <v>50</v>
      </c>
      <c r="D81" s="3" t="s">
        <v>434</v>
      </c>
      <c r="E81" s="3" t="s">
        <v>435</v>
      </c>
      <c r="F81" s="3" t="s">
        <v>34</v>
      </c>
      <c r="G81" s="15">
        <v>46133</v>
      </c>
      <c r="H81" s="16">
        <f t="shared" si="2"/>
        <v>178</v>
      </c>
      <c r="I81" s="16" t="str">
        <f t="shared" si="3"/>
        <v>121 à 180 dias</v>
      </c>
      <c r="J81" s="11">
        <v>23</v>
      </c>
      <c r="K81" s="8">
        <v>17566.14</v>
      </c>
      <c r="L81" s="5">
        <v>1061.82</v>
      </c>
      <c r="M81" s="5">
        <v>19165.060000000001</v>
      </c>
      <c r="N81" s="8">
        <v>12434.89</v>
      </c>
      <c r="O81" s="7">
        <v>227174.74</v>
      </c>
      <c r="P81" s="3" t="s">
        <v>0</v>
      </c>
      <c r="Q81" s="3" t="s">
        <v>5</v>
      </c>
    </row>
    <row r="82" spans="1:17" x14ac:dyDescent="0.25">
      <c r="A82" s="3" t="s">
        <v>436</v>
      </c>
      <c r="B82" s="3" t="s">
        <v>437</v>
      </c>
      <c r="C82" s="3" t="s">
        <v>115</v>
      </c>
      <c r="D82" s="3" t="s">
        <v>438</v>
      </c>
      <c r="E82" s="3" t="s">
        <v>201</v>
      </c>
      <c r="F82" s="3" t="s">
        <v>44</v>
      </c>
      <c r="G82" s="15">
        <v>46133</v>
      </c>
      <c r="H82" s="16">
        <f t="shared" si="2"/>
        <v>147</v>
      </c>
      <c r="I82" s="16" t="str">
        <f t="shared" si="3"/>
        <v>121 à 180 dias</v>
      </c>
      <c r="J82" s="4">
        <v>1</v>
      </c>
      <c r="K82" s="5">
        <v>7481.77</v>
      </c>
      <c r="L82" s="6">
        <v>516.25</v>
      </c>
      <c r="M82" s="5">
        <v>7998.02</v>
      </c>
      <c r="N82" s="7">
        <v>192471.27</v>
      </c>
      <c r="O82" s="7">
        <v>110960.68</v>
      </c>
      <c r="P82" s="3" t="s">
        <v>0</v>
      </c>
      <c r="Q82" s="3" t="s">
        <v>5</v>
      </c>
    </row>
    <row r="83" spans="1:17" x14ac:dyDescent="0.25">
      <c r="A83" s="3" t="s">
        <v>439</v>
      </c>
      <c r="B83" s="3" t="s">
        <v>440</v>
      </c>
      <c r="C83" s="3" t="s">
        <v>50</v>
      </c>
      <c r="D83" s="3" t="s">
        <v>441</v>
      </c>
      <c r="E83" s="3" t="s">
        <v>442</v>
      </c>
      <c r="F83" s="3" t="s">
        <v>239</v>
      </c>
      <c r="G83" s="15">
        <v>46133</v>
      </c>
      <c r="H83" s="16">
        <f t="shared" si="2"/>
        <v>142</v>
      </c>
      <c r="I83" s="16" t="str">
        <f t="shared" si="3"/>
        <v>121 à 180 dias</v>
      </c>
      <c r="J83" s="4">
        <v>4</v>
      </c>
      <c r="K83" s="5">
        <v>3636.72</v>
      </c>
      <c r="L83" s="6">
        <v>165.47</v>
      </c>
      <c r="M83" s="5">
        <v>3879.05</v>
      </c>
      <c r="N83" s="8">
        <v>35404.160000000003</v>
      </c>
      <c r="O83" s="7">
        <v>180926.82</v>
      </c>
      <c r="P83" s="3" t="s">
        <v>0</v>
      </c>
      <c r="Q83" s="3" t="s">
        <v>5</v>
      </c>
    </row>
    <row r="84" spans="1:17" x14ac:dyDescent="0.25">
      <c r="A84" s="3" t="s">
        <v>443</v>
      </c>
      <c r="B84" s="3" t="s">
        <v>444</v>
      </c>
      <c r="C84" s="3" t="s">
        <v>25</v>
      </c>
      <c r="D84" s="3" t="s">
        <v>445</v>
      </c>
      <c r="E84" s="3" t="s">
        <v>446</v>
      </c>
      <c r="F84" s="3" t="s">
        <v>34</v>
      </c>
      <c r="G84" s="15">
        <v>46133</v>
      </c>
      <c r="H84" s="16">
        <f t="shared" si="2"/>
        <v>178</v>
      </c>
      <c r="I84" s="16" t="str">
        <f t="shared" si="3"/>
        <v>121 à 180 dias</v>
      </c>
      <c r="J84" s="4">
        <v>2</v>
      </c>
      <c r="K84" s="5">
        <v>1662.8</v>
      </c>
      <c r="L84" s="9">
        <v>89.92</v>
      </c>
      <c r="M84" s="5">
        <v>1752.72</v>
      </c>
      <c r="N84" s="8">
        <v>35308.720000000001</v>
      </c>
      <c r="O84" s="8">
        <v>65282.080000000002</v>
      </c>
      <c r="P84" s="3" t="s">
        <v>0</v>
      </c>
      <c r="Q84" s="3" t="s">
        <v>5</v>
      </c>
    </row>
    <row r="85" spans="1:17" x14ac:dyDescent="0.25">
      <c r="A85" s="3" t="s">
        <v>447</v>
      </c>
      <c r="B85" s="3" t="s">
        <v>448</v>
      </c>
      <c r="C85" s="3" t="s">
        <v>120</v>
      </c>
      <c r="D85" s="3" t="s">
        <v>449</v>
      </c>
      <c r="E85" s="3" t="s">
        <v>450</v>
      </c>
      <c r="F85" s="3" t="s">
        <v>75</v>
      </c>
      <c r="G85" s="15">
        <v>46133</v>
      </c>
      <c r="H85" s="16">
        <f t="shared" si="2"/>
        <v>157</v>
      </c>
      <c r="I85" s="16" t="str">
        <f t="shared" si="3"/>
        <v>121 à 180 dias</v>
      </c>
      <c r="J85" s="4">
        <v>6</v>
      </c>
      <c r="K85" s="8">
        <v>10057.65</v>
      </c>
      <c r="L85" s="6">
        <v>537.80999999999995</v>
      </c>
      <c r="M85" s="8">
        <v>10595.46</v>
      </c>
      <c r="N85" s="8">
        <v>79036.509999999995</v>
      </c>
      <c r="O85" s="7">
        <v>209985.07</v>
      </c>
      <c r="P85" s="3" t="s">
        <v>0</v>
      </c>
      <c r="Q85" s="3" t="s">
        <v>5</v>
      </c>
    </row>
    <row r="86" spans="1:17" x14ac:dyDescent="0.25">
      <c r="A86" s="3" t="s">
        <v>158</v>
      </c>
      <c r="B86" s="3" t="s">
        <v>451</v>
      </c>
      <c r="C86" s="3" t="s">
        <v>50</v>
      </c>
      <c r="D86" s="3" t="s">
        <v>452</v>
      </c>
      <c r="E86" s="3" t="s">
        <v>453</v>
      </c>
      <c r="F86" s="3" t="s">
        <v>135</v>
      </c>
      <c r="G86" s="15">
        <v>46133</v>
      </c>
      <c r="H86" s="16">
        <f t="shared" si="2"/>
        <v>132</v>
      </c>
      <c r="I86" s="16" t="str">
        <f t="shared" si="3"/>
        <v>121 à 180 dias</v>
      </c>
      <c r="J86" s="4">
        <v>1</v>
      </c>
      <c r="K86" s="5">
        <v>1590.87</v>
      </c>
      <c r="L86" s="6">
        <v>103.27</v>
      </c>
      <c r="M86" s="5">
        <v>1694.14</v>
      </c>
      <c r="N86" s="8">
        <v>47274.05</v>
      </c>
      <c r="O86" s="7">
        <v>141587.43</v>
      </c>
      <c r="P86" s="3" t="s">
        <v>0</v>
      </c>
      <c r="Q86" s="3" t="s">
        <v>5</v>
      </c>
    </row>
    <row r="87" spans="1:17" x14ac:dyDescent="0.25">
      <c r="A87" s="3" t="s">
        <v>454</v>
      </c>
      <c r="B87" s="3" t="s">
        <v>455</v>
      </c>
      <c r="C87" s="3" t="s">
        <v>190</v>
      </c>
      <c r="D87" s="3" t="s">
        <v>456</v>
      </c>
      <c r="E87" s="3" t="s">
        <v>457</v>
      </c>
      <c r="F87" s="3" t="s">
        <v>271</v>
      </c>
      <c r="G87" s="15">
        <v>46133</v>
      </c>
      <c r="H87" s="16">
        <f t="shared" si="2"/>
        <v>173</v>
      </c>
      <c r="I87" s="16" t="str">
        <f t="shared" si="3"/>
        <v>121 à 180 dias</v>
      </c>
      <c r="J87" s="4">
        <v>6</v>
      </c>
      <c r="K87" s="8">
        <v>41514.99</v>
      </c>
      <c r="L87" s="5">
        <v>2501.09</v>
      </c>
      <c r="M87" s="5">
        <v>44181.72</v>
      </c>
      <c r="N87" s="10">
        <v>0</v>
      </c>
      <c r="O87" s="7">
        <v>197196.09</v>
      </c>
      <c r="P87" s="3" t="s">
        <v>0</v>
      </c>
      <c r="Q87" s="3" t="s">
        <v>5</v>
      </c>
    </row>
    <row r="88" spans="1:17" x14ac:dyDescent="0.25">
      <c r="A88" s="3" t="s">
        <v>458</v>
      </c>
      <c r="B88" s="3" t="s">
        <v>459</v>
      </c>
      <c r="C88" s="3" t="s">
        <v>120</v>
      </c>
      <c r="D88" s="3" t="s">
        <v>460</v>
      </c>
      <c r="E88" s="3" t="s">
        <v>461</v>
      </c>
      <c r="F88" s="3" t="s">
        <v>62</v>
      </c>
      <c r="G88" s="15">
        <v>46133</v>
      </c>
      <c r="H88" s="16">
        <f t="shared" si="2"/>
        <v>137</v>
      </c>
      <c r="I88" s="16" t="str">
        <f t="shared" si="3"/>
        <v>121 à 180 dias</v>
      </c>
      <c r="J88" s="4">
        <v>3</v>
      </c>
      <c r="K88" s="5">
        <v>3600.54</v>
      </c>
      <c r="L88" s="6">
        <v>176.69</v>
      </c>
      <c r="M88" s="5">
        <v>3777.23</v>
      </c>
      <c r="N88" s="8">
        <v>91471.78</v>
      </c>
      <c r="O88" s="7">
        <v>173356.34</v>
      </c>
      <c r="P88" s="3" t="s">
        <v>0</v>
      </c>
      <c r="Q88" s="3" t="s">
        <v>5</v>
      </c>
    </row>
    <row r="89" spans="1:17" x14ac:dyDescent="0.25">
      <c r="A89" s="3" t="s">
        <v>462</v>
      </c>
      <c r="B89" s="3" t="s">
        <v>463</v>
      </c>
      <c r="C89" s="3" t="s">
        <v>37</v>
      </c>
      <c r="D89" s="3" t="s">
        <v>464</v>
      </c>
      <c r="E89" s="3" t="s">
        <v>465</v>
      </c>
      <c r="F89" s="3" t="s">
        <v>44</v>
      </c>
      <c r="G89" s="15">
        <v>46133</v>
      </c>
      <c r="H89" s="16">
        <f t="shared" si="2"/>
        <v>147</v>
      </c>
      <c r="I89" s="16" t="str">
        <f t="shared" si="3"/>
        <v>121 à 180 dias</v>
      </c>
      <c r="J89" s="4">
        <v>2</v>
      </c>
      <c r="K89" s="5">
        <v>1277.0899999999999</v>
      </c>
      <c r="L89" s="9">
        <v>62.76</v>
      </c>
      <c r="M89" s="5">
        <v>1339.85</v>
      </c>
      <c r="N89" s="5">
        <v>6358.65</v>
      </c>
      <c r="O89" s="7">
        <v>110942.45</v>
      </c>
      <c r="P89" s="3" t="s">
        <v>0</v>
      </c>
      <c r="Q89" s="3" t="s">
        <v>5</v>
      </c>
    </row>
    <row r="90" spans="1:17" x14ac:dyDescent="0.25">
      <c r="A90" s="3" t="s">
        <v>466</v>
      </c>
      <c r="B90" s="3" t="s">
        <v>467</v>
      </c>
      <c r="C90" s="3" t="s">
        <v>120</v>
      </c>
      <c r="D90" s="3" t="s">
        <v>468</v>
      </c>
      <c r="E90" s="3" t="s">
        <v>469</v>
      </c>
      <c r="F90" s="3" t="s">
        <v>34</v>
      </c>
      <c r="G90" s="15">
        <v>46133</v>
      </c>
      <c r="H90" s="16">
        <f t="shared" si="2"/>
        <v>178</v>
      </c>
      <c r="I90" s="16" t="str">
        <f t="shared" si="3"/>
        <v>121 à 180 dias</v>
      </c>
      <c r="J90" s="4">
        <v>1</v>
      </c>
      <c r="K90" s="5">
        <v>1461.46</v>
      </c>
      <c r="L90" s="6">
        <v>115.56</v>
      </c>
      <c r="M90" s="5">
        <v>1577.02</v>
      </c>
      <c r="N90" s="7">
        <v>111296.22</v>
      </c>
      <c r="O90" s="7">
        <v>210993.97</v>
      </c>
      <c r="P90" s="3" t="s">
        <v>0</v>
      </c>
      <c r="Q90" s="3" t="s">
        <v>5</v>
      </c>
    </row>
    <row r="91" spans="1:17" x14ac:dyDescent="0.25">
      <c r="A91" s="3" t="s">
        <v>470</v>
      </c>
      <c r="B91" s="3" t="s">
        <v>471</v>
      </c>
      <c r="C91" s="3" t="s">
        <v>50</v>
      </c>
      <c r="D91" s="3" t="s">
        <v>472</v>
      </c>
      <c r="E91" s="3" t="s">
        <v>473</v>
      </c>
      <c r="F91" s="3" t="s">
        <v>62</v>
      </c>
      <c r="G91" s="15">
        <v>46133</v>
      </c>
      <c r="H91" s="16">
        <f t="shared" si="2"/>
        <v>137</v>
      </c>
      <c r="I91" s="16" t="str">
        <f t="shared" si="3"/>
        <v>121 à 180 dias</v>
      </c>
      <c r="J91" s="4">
        <v>5</v>
      </c>
      <c r="K91" s="5">
        <v>8669.85</v>
      </c>
      <c r="L91" s="6">
        <v>380.01</v>
      </c>
      <c r="M91" s="5">
        <v>9170.39</v>
      </c>
      <c r="N91" s="5">
        <v>3467.94</v>
      </c>
      <c r="O91" s="7">
        <v>246223.74</v>
      </c>
      <c r="P91" s="3" t="s">
        <v>0</v>
      </c>
      <c r="Q91" s="3" t="s">
        <v>5</v>
      </c>
    </row>
    <row r="92" spans="1:17" x14ac:dyDescent="0.25">
      <c r="A92" s="3" t="s">
        <v>474</v>
      </c>
      <c r="B92" s="3" t="s">
        <v>475</v>
      </c>
      <c r="C92" s="3" t="s">
        <v>190</v>
      </c>
      <c r="D92" s="3" t="s">
        <v>476</v>
      </c>
      <c r="E92" s="3" t="s">
        <v>346</v>
      </c>
      <c r="F92" s="3" t="s">
        <v>338</v>
      </c>
      <c r="G92" s="15">
        <v>46133</v>
      </c>
      <c r="H92" s="16">
        <f t="shared" si="2"/>
        <v>145</v>
      </c>
      <c r="I92" s="16" t="str">
        <f t="shared" si="3"/>
        <v>121 à 180 dias</v>
      </c>
      <c r="J92" s="4">
        <v>1</v>
      </c>
      <c r="K92" s="5">
        <v>7283.33</v>
      </c>
      <c r="L92" s="6">
        <v>497.7</v>
      </c>
      <c r="M92" s="5">
        <v>7824.62</v>
      </c>
      <c r="N92" s="8">
        <v>30043.75</v>
      </c>
      <c r="O92" s="7">
        <v>177531.32</v>
      </c>
      <c r="P92" s="3" t="s">
        <v>0</v>
      </c>
      <c r="Q92" s="3" t="s">
        <v>5</v>
      </c>
    </row>
    <row r="93" spans="1:17" x14ac:dyDescent="0.25">
      <c r="A93" s="3" t="s">
        <v>477</v>
      </c>
      <c r="B93" s="3" t="s">
        <v>478</v>
      </c>
      <c r="C93" s="3" t="s">
        <v>115</v>
      </c>
      <c r="D93" s="3" t="s">
        <v>479</v>
      </c>
      <c r="E93" s="3" t="s">
        <v>480</v>
      </c>
      <c r="F93" s="3" t="s">
        <v>28</v>
      </c>
      <c r="G93" s="15">
        <v>46133</v>
      </c>
      <c r="H93" s="16">
        <f t="shared" si="2"/>
        <v>122</v>
      </c>
      <c r="I93" s="16" t="str">
        <f t="shared" si="3"/>
        <v>121 à 180 dias</v>
      </c>
      <c r="J93" s="4">
        <v>5</v>
      </c>
      <c r="K93" s="8">
        <v>27992.400000000001</v>
      </c>
      <c r="L93" s="5">
        <v>1156.77</v>
      </c>
      <c r="M93" s="8">
        <v>29149.17</v>
      </c>
      <c r="N93" s="8">
        <v>62046.38</v>
      </c>
      <c r="O93" s="7">
        <v>358302.71999999997</v>
      </c>
      <c r="P93" s="3" t="s">
        <v>0</v>
      </c>
      <c r="Q93" s="3" t="s">
        <v>5</v>
      </c>
    </row>
    <row r="94" spans="1:17" x14ac:dyDescent="0.25">
      <c r="A94" s="3" t="s">
        <v>481</v>
      </c>
      <c r="B94" s="3" t="s">
        <v>482</v>
      </c>
      <c r="C94" s="3" t="s">
        <v>37</v>
      </c>
      <c r="D94" s="3" t="s">
        <v>483</v>
      </c>
      <c r="E94" s="3" t="s">
        <v>484</v>
      </c>
      <c r="F94" s="3" t="s">
        <v>144</v>
      </c>
      <c r="G94" s="15">
        <v>46133</v>
      </c>
      <c r="H94" s="16">
        <f t="shared" si="2"/>
        <v>127</v>
      </c>
      <c r="I94" s="16" t="str">
        <f t="shared" si="3"/>
        <v>121 à 180 dias</v>
      </c>
      <c r="J94" s="4">
        <v>1</v>
      </c>
      <c r="K94" s="6">
        <v>594.58000000000004</v>
      </c>
      <c r="L94" s="9">
        <v>37.06</v>
      </c>
      <c r="M94" s="6">
        <v>631.64</v>
      </c>
      <c r="N94" s="5">
        <v>7875.76</v>
      </c>
      <c r="O94" s="7">
        <v>104545.44</v>
      </c>
      <c r="P94" s="3" t="s">
        <v>0</v>
      </c>
      <c r="Q94" s="3" t="s">
        <v>5</v>
      </c>
    </row>
    <row r="95" spans="1:17" x14ac:dyDescent="0.25">
      <c r="A95" s="3" t="s">
        <v>485</v>
      </c>
      <c r="B95" s="3" t="s">
        <v>486</v>
      </c>
      <c r="C95" s="3" t="s">
        <v>194</v>
      </c>
      <c r="D95" s="3" t="s">
        <v>487</v>
      </c>
      <c r="E95" s="3" t="s">
        <v>488</v>
      </c>
      <c r="F95" s="3" t="s">
        <v>153</v>
      </c>
      <c r="G95" s="15">
        <v>46133</v>
      </c>
      <c r="H95" s="16">
        <f t="shared" si="2"/>
        <v>152</v>
      </c>
      <c r="I95" s="16" t="str">
        <f t="shared" si="3"/>
        <v>121 à 180 dias</v>
      </c>
      <c r="J95" s="4">
        <v>6</v>
      </c>
      <c r="K95" s="8">
        <v>22398.21</v>
      </c>
      <c r="L95" s="5">
        <v>1022.9</v>
      </c>
      <c r="M95" s="8">
        <v>23421.11</v>
      </c>
      <c r="N95" s="7">
        <v>164732.01999999999</v>
      </c>
      <c r="O95" s="7">
        <v>278107.06</v>
      </c>
      <c r="P95" s="3" t="s">
        <v>0</v>
      </c>
      <c r="Q95" s="3" t="s">
        <v>5</v>
      </c>
    </row>
    <row r="96" spans="1:17" x14ac:dyDescent="0.25">
      <c r="A96" s="3" t="s">
        <v>489</v>
      </c>
      <c r="B96" s="3" t="s">
        <v>486</v>
      </c>
      <c r="C96" s="3" t="s">
        <v>194</v>
      </c>
      <c r="D96" s="3" t="s">
        <v>490</v>
      </c>
      <c r="E96" s="3" t="s">
        <v>139</v>
      </c>
      <c r="F96" s="3" t="s">
        <v>153</v>
      </c>
      <c r="G96" s="15">
        <v>46133</v>
      </c>
      <c r="H96" s="16">
        <f t="shared" si="2"/>
        <v>152</v>
      </c>
      <c r="I96" s="16" t="str">
        <f t="shared" si="3"/>
        <v>121 à 180 dias</v>
      </c>
      <c r="J96" s="4">
        <v>6</v>
      </c>
      <c r="K96" s="8">
        <v>22723.38</v>
      </c>
      <c r="L96" s="5">
        <v>1036.06</v>
      </c>
      <c r="M96" s="8">
        <v>23759.439999999999</v>
      </c>
      <c r="N96" s="7">
        <v>165668.38</v>
      </c>
      <c r="O96" s="7">
        <v>280398.68</v>
      </c>
      <c r="P96" s="3" t="s">
        <v>0</v>
      </c>
      <c r="Q96" s="3" t="s">
        <v>5</v>
      </c>
    </row>
    <row r="97" spans="1:17" x14ac:dyDescent="0.25">
      <c r="A97" s="3" t="s">
        <v>491</v>
      </c>
      <c r="B97" s="3" t="s">
        <v>492</v>
      </c>
      <c r="C97" s="3" t="s">
        <v>50</v>
      </c>
      <c r="D97" s="3" t="s">
        <v>493</v>
      </c>
      <c r="E97" s="3" t="s">
        <v>494</v>
      </c>
      <c r="F97" s="3" t="s">
        <v>271</v>
      </c>
      <c r="G97" s="15">
        <v>46133</v>
      </c>
      <c r="H97" s="16">
        <f t="shared" si="2"/>
        <v>173</v>
      </c>
      <c r="I97" s="16" t="str">
        <f t="shared" si="3"/>
        <v>121 à 180 dias</v>
      </c>
      <c r="J97" s="11">
        <v>18</v>
      </c>
      <c r="K97" s="8">
        <v>31211.03</v>
      </c>
      <c r="L97" s="5">
        <v>1674.52</v>
      </c>
      <c r="M97" s="5">
        <v>33384.53</v>
      </c>
      <c r="N97" s="8">
        <v>15685.95</v>
      </c>
      <c r="O97" s="7">
        <v>334591.05</v>
      </c>
      <c r="P97" s="3" t="s">
        <v>0</v>
      </c>
      <c r="Q97" s="3" t="s">
        <v>5</v>
      </c>
    </row>
    <row r="98" spans="1:17" x14ac:dyDescent="0.25">
      <c r="A98" s="3" t="s">
        <v>495</v>
      </c>
      <c r="B98" s="3" t="s">
        <v>492</v>
      </c>
      <c r="C98" s="3" t="s">
        <v>50</v>
      </c>
      <c r="D98" s="3" t="s">
        <v>496</v>
      </c>
      <c r="E98" s="3" t="s">
        <v>497</v>
      </c>
      <c r="F98" s="3" t="s">
        <v>498</v>
      </c>
      <c r="G98" s="15">
        <v>46133</v>
      </c>
      <c r="H98" s="16">
        <f t="shared" si="2"/>
        <v>176</v>
      </c>
      <c r="I98" s="16" t="str">
        <f t="shared" si="3"/>
        <v>121 à 180 dias</v>
      </c>
      <c r="J98" s="11">
        <v>21</v>
      </c>
      <c r="K98" s="8">
        <v>32582.23</v>
      </c>
      <c r="L98" s="5">
        <v>1789.79</v>
      </c>
      <c r="M98" s="5">
        <v>34872.949999999997</v>
      </c>
      <c r="N98" s="8">
        <v>12787.37</v>
      </c>
      <c r="O98" s="7">
        <v>311294.23</v>
      </c>
      <c r="P98" s="3" t="s">
        <v>0</v>
      </c>
      <c r="Q98" s="3" t="s">
        <v>5</v>
      </c>
    </row>
    <row r="99" spans="1:17" x14ac:dyDescent="0.25">
      <c r="A99" s="3" t="s">
        <v>499</v>
      </c>
      <c r="B99" s="3" t="s">
        <v>500</v>
      </c>
      <c r="C99" s="3" t="s">
        <v>194</v>
      </c>
      <c r="D99" s="3" t="s">
        <v>501</v>
      </c>
      <c r="E99" s="3" t="s">
        <v>502</v>
      </c>
      <c r="F99" s="3" t="s">
        <v>239</v>
      </c>
      <c r="G99" s="15">
        <v>46133</v>
      </c>
      <c r="H99" s="16">
        <f t="shared" si="2"/>
        <v>142</v>
      </c>
      <c r="I99" s="16" t="str">
        <f t="shared" si="3"/>
        <v>121 à 180 dias</v>
      </c>
      <c r="J99" s="4">
        <v>2</v>
      </c>
      <c r="K99" s="8">
        <v>12139.21</v>
      </c>
      <c r="L99" s="6">
        <v>576.46</v>
      </c>
      <c r="M99" s="8">
        <v>12715.67</v>
      </c>
      <c r="N99" s="7">
        <v>316041.48</v>
      </c>
      <c r="O99" s="7">
        <v>589831.96</v>
      </c>
      <c r="P99" s="3" t="s">
        <v>0</v>
      </c>
      <c r="Q99" s="3" t="s">
        <v>5</v>
      </c>
    </row>
    <row r="100" spans="1:17" x14ac:dyDescent="0.25">
      <c r="A100" s="3" t="s">
        <v>503</v>
      </c>
      <c r="B100" s="3" t="s">
        <v>504</v>
      </c>
      <c r="C100" s="3" t="s">
        <v>37</v>
      </c>
      <c r="D100" s="3" t="s">
        <v>505</v>
      </c>
      <c r="E100" s="3" t="s">
        <v>506</v>
      </c>
      <c r="F100" s="3" t="s">
        <v>84</v>
      </c>
      <c r="G100" s="15">
        <v>46133</v>
      </c>
      <c r="H100" s="16">
        <f t="shared" si="2"/>
        <v>172</v>
      </c>
      <c r="I100" s="16" t="str">
        <f t="shared" si="3"/>
        <v>121 à 180 dias</v>
      </c>
      <c r="J100" s="4">
        <v>3</v>
      </c>
      <c r="K100" s="5">
        <v>1624.29</v>
      </c>
      <c r="L100" s="6">
        <v>111.65</v>
      </c>
      <c r="M100" s="5">
        <v>1735.94</v>
      </c>
      <c r="N100" s="8">
        <v>13971.98</v>
      </c>
      <c r="O100" s="8">
        <v>64430.17</v>
      </c>
      <c r="P100" s="3" t="s">
        <v>0</v>
      </c>
      <c r="Q100" s="3" t="s">
        <v>5</v>
      </c>
    </row>
    <row r="101" spans="1:17" x14ac:dyDescent="0.25">
      <c r="A101" s="3" t="s">
        <v>507</v>
      </c>
      <c r="B101" s="3" t="s">
        <v>508</v>
      </c>
      <c r="C101" s="3" t="s">
        <v>190</v>
      </c>
      <c r="D101" s="3" t="s">
        <v>509</v>
      </c>
      <c r="E101" s="3" t="s">
        <v>368</v>
      </c>
      <c r="F101" s="3" t="s">
        <v>44</v>
      </c>
      <c r="G101" s="15">
        <v>46133</v>
      </c>
      <c r="H101" s="16">
        <f t="shared" si="2"/>
        <v>147</v>
      </c>
      <c r="I101" s="16" t="str">
        <f t="shared" si="3"/>
        <v>121 à 180 dias</v>
      </c>
      <c r="J101" s="4">
        <v>1</v>
      </c>
      <c r="K101" s="5">
        <v>2770.83</v>
      </c>
      <c r="L101" s="6">
        <v>191.19</v>
      </c>
      <c r="M101" s="5">
        <v>2962.02</v>
      </c>
      <c r="N101" s="8">
        <v>24244.799999999999</v>
      </c>
      <c r="O101" s="7">
        <v>133692.81</v>
      </c>
      <c r="P101" s="3" t="s">
        <v>0</v>
      </c>
      <c r="Q101" s="3" t="s">
        <v>5</v>
      </c>
    </row>
    <row r="102" spans="1:17" x14ac:dyDescent="0.25">
      <c r="A102" s="3" t="s">
        <v>510</v>
      </c>
      <c r="B102" s="3" t="s">
        <v>511</v>
      </c>
      <c r="C102" s="3" t="s">
        <v>128</v>
      </c>
      <c r="D102" s="3" t="s">
        <v>512</v>
      </c>
      <c r="E102" s="3" t="s">
        <v>355</v>
      </c>
      <c r="F102" s="3" t="s">
        <v>364</v>
      </c>
      <c r="G102" s="15">
        <v>46133</v>
      </c>
      <c r="H102" s="16">
        <f t="shared" si="2"/>
        <v>138</v>
      </c>
      <c r="I102" s="16" t="str">
        <f t="shared" si="3"/>
        <v>121 à 180 dias</v>
      </c>
      <c r="J102" s="4">
        <v>1</v>
      </c>
      <c r="K102" s="5">
        <v>3538.74</v>
      </c>
      <c r="L102" s="6">
        <v>233.55</v>
      </c>
      <c r="M102" s="5">
        <v>3772.29</v>
      </c>
      <c r="N102" s="8">
        <v>78718.009999999995</v>
      </c>
      <c r="O102" s="5">
        <v>3538.74</v>
      </c>
      <c r="P102" s="3" t="s">
        <v>0</v>
      </c>
      <c r="Q102" s="3" t="s">
        <v>5</v>
      </c>
    </row>
    <row r="103" spans="1:17" x14ac:dyDescent="0.25">
      <c r="A103" s="3" t="s">
        <v>513</v>
      </c>
      <c r="B103" s="3" t="s">
        <v>514</v>
      </c>
      <c r="C103" s="3" t="s">
        <v>94</v>
      </c>
      <c r="D103" s="3" t="s">
        <v>515</v>
      </c>
      <c r="E103" s="3" t="s">
        <v>516</v>
      </c>
      <c r="F103" s="3" t="s">
        <v>271</v>
      </c>
      <c r="G103" s="15">
        <v>46133</v>
      </c>
      <c r="H103" s="16">
        <f t="shared" si="2"/>
        <v>173</v>
      </c>
      <c r="I103" s="16" t="str">
        <f t="shared" si="3"/>
        <v>121 à 180 dias</v>
      </c>
      <c r="J103" s="4">
        <v>2</v>
      </c>
      <c r="K103" s="5">
        <v>1494.78</v>
      </c>
      <c r="L103" s="9">
        <v>85.35</v>
      </c>
      <c r="M103" s="5">
        <v>1580.13</v>
      </c>
      <c r="N103" s="8">
        <v>41417.83</v>
      </c>
      <c r="O103" s="7">
        <v>111798.14</v>
      </c>
      <c r="P103" s="3" t="s">
        <v>0</v>
      </c>
      <c r="Q103" s="3" t="s">
        <v>5</v>
      </c>
    </row>
    <row r="104" spans="1:17" x14ac:dyDescent="0.25">
      <c r="A104" s="3" t="s">
        <v>517</v>
      </c>
      <c r="B104" s="3" t="s">
        <v>518</v>
      </c>
      <c r="C104" s="3" t="s">
        <v>128</v>
      </c>
      <c r="D104" s="3" t="s">
        <v>519</v>
      </c>
      <c r="E104" s="3" t="s">
        <v>520</v>
      </c>
      <c r="F104" s="3" t="s">
        <v>53</v>
      </c>
      <c r="G104" s="15">
        <v>46133</v>
      </c>
      <c r="H104" s="16">
        <f t="shared" si="2"/>
        <v>162</v>
      </c>
      <c r="I104" s="16" t="str">
        <f t="shared" si="3"/>
        <v>121 à 180 dias</v>
      </c>
      <c r="J104" s="4">
        <v>6</v>
      </c>
      <c r="K104" s="8">
        <v>22439.360000000001</v>
      </c>
      <c r="L104" s="6">
        <v>732.23</v>
      </c>
      <c r="M104" s="8">
        <v>23171.59</v>
      </c>
      <c r="N104" s="5">
        <v>4110.1099999999997</v>
      </c>
      <c r="O104" s="7">
        <v>556343.24</v>
      </c>
      <c r="P104" s="3" t="s">
        <v>0</v>
      </c>
      <c r="Q104" s="3" t="s">
        <v>5</v>
      </c>
    </row>
    <row r="105" spans="1:17" x14ac:dyDescent="0.25">
      <c r="A105" s="3" t="s">
        <v>521</v>
      </c>
      <c r="B105" s="3" t="s">
        <v>522</v>
      </c>
      <c r="C105" s="3" t="s">
        <v>31</v>
      </c>
      <c r="D105" s="3" t="s">
        <v>523</v>
      </c>
      <c r="E105" s="3" t="s">
        <v>524</v>
      </c>
      <c r="F105" s="3" t="s">
        <v>153</v>
      </c>
      <c r="G105" s="15">
        <v>46133</v>
      </c>
      <c r="H105" s="16">
        <f t="shared" si="2"/>
        <v>152</v>
      </c>
      <c r="I105" s="16" t="str">
        <f t="shared" si="3"/>
        <v>121 à 180 dias</v>
      </c>
      <c r="J105" s="4">
        <v>1</v>
      </c>
      <c r="K105" s="6">
        <v>979.83</v>
      </c>
      <c r="L105" s="9">
        <v>68.92</v>
      </c>
      <c r="M105" s="5">
        <v>1048.75</v>
      </c>
      <c r="N105" s="7">
        <v>176416.17</v>
      </c>
      <c r="O105" s="6">
        <v>979.83</v>
      </c>
      <c r="P105" s="3" t="s">
        <v>0</v>
      </c>
      <c r="Q105" s="3" t="s">
        <v>5</v>
      </c>
    </row>
    <row r="106" spans="1:17" x14ac:dyDescent="0.25">
      <c r="A106" s="3" t="s">
        <v>525</v>
      </c>
      <c r="B106" s="3" t="s">
        <v>522</v>
      </c>
      <c r="C106" s="3" t="s">
        <v>31</v>
      </c>
      <c r="D106" s="3" t="s">
        <v>526</v>
      </c>
      <c r="E106" s="3" t="s">
        <v>524</v>
      </c>
      <c r="F106" s="3" t="s">
        <v>153</v>
      </c>
      <c r="G106" s="15">
        <v>46133</v>
      </c>
      <c r="H106" s="16">
        <f t="shared" si="2"/>
        <v>152</v>
      </c>
      <c r="I106" s="16" t="str">
        <f t="shared" si="3"/>
        <v>121 à 180 dias</v>
      </c>
      <c r="J106" s="4">
        <v>1</v>
      </c>
      <c r="K106" s="5">
        <v>1070.1300000000001</v>
      </c>
      <c r="L106" s="9">
        <v>75.260000000000005</v>
      </c>
      <c r="M106" s="5">
        <v>1145.3900000000001</v>
      </c>
      <c r="N106" s="7">
        <v>176325.86</v>
      </c>
      <c r="O106" s="5">
        <v>1070.1300000000001</v>
      </c>
      <c r="P106" s="3" t="s">
        <v>0</v>
      </c>
      <c r="Q106" s="3" t="s">
        <v>5</v>
      </c>
    </row>
    <row r="107" spans="1:17" x14ac:dyDescent="0.25">
      <c r="A107" s="3" t="s">
        <v>527</v>
      </c>
      <c r="B107" s="3" t="s">
        <v>528</v>
      </c>
      <c r="C107" s="3" t="s">
        <v>37</v>
      </c>
      <c r="D107" s="3" t="s">
        <v>529</v>
      </c>
      <c r="E107" s="3" t="s">
        <v>530</v>
      </c>
      <c r="F107" s="3" t="s">
        <v>44</v>
      </c>
      <c r="G107" s="15">
        <v>46133</v>
      </c>
      <c r="H107" s="16">
        <f t="shared" si="2"/>
        <v>147</v>
      </c>
      <c r="I107" s="16" t="str">
        <f t="shared" si="3"/>
        <v>121 à 180 dias</v>
      </c>
      <c r="J107" s="4">
        <v>3</v>
      </c>
      <c r="K107" s="5">
        <v>1872.96</v>
      </c>
      <c r="L107" s="9">
        <v>92.6</v>
      </c>
      <c r="M107" s="5">
        <v>1965.56</v>
      </c>
      <c r="N107" s="5">
        <v>2497.2800000000002</v>
      </c>
      <c r="O107" s="7">
        <v>109880.32000000001</v>
      </c>
      <c r="P107" s="3" t="s">
        <v>0</v>
      </c>
      <c r="Q107" s="3" t="s">
        <v>5</v>
      </c>
    </row>
    <row r="108" spans="1:17" x14ac:dyDescent="0.25">
      <c r="A108" s="3" t="s">
        <v>531</v>
      </c>
      <c r="B108" s="3" t="s">
        <v>532</v>
      </c>
      <c r="C108" s="3" t="s">
        <v>31</v>
      </c>
      <c r="D108" s="3" t="s">
        <v>533</v>
      </c>
      <c r="E108" s="3" t="s">
        <v>524</v>
      </c>
      <c r="F108" s="3" t="s">
        <v>34</v>
      </c>
      <c r="G108" s="15">
        <v>46133</v>
      </c>
      <c r="H108" s="16">
        <f t="shared" si="2"/>
        <v>178</v>
      </c>
      <c r="I108" s="16" t="str">
        <f t="shared" si="3"/>
        <v>121 à 180 dias</v>
      </c>
      <c r="J108" s="4">
        <v>2</v>
      </c>
      <c r="K108" s="5">
        <v>2083</v>
      </c>
      <c r="L108" s="6">
        <v>164.67</v>
      </c>
      <c r="M108" s="5">
        <v>2247.67</v>
      </c>
      <c r="N108" s="8">
        <v>81954.91</v>
      </c>
      <c r="O108" s="7">
        <v>218974.62</v>
      </c>
      <c r="P108" s="3" t="s">
        <v>0</v>
      </c>
      <c r="Q108" s="3" t="s">
        <v>5</v>
      </c>
    </row>
    <row r="109" spans="1:17" x14ac:dyDescent="0.25">
      <c r="A109" s="3" t="s">
        <v>534</v>
      </c>
      <c r="B109" s="3" t="s">
        <v>535</v>
      </c>
      <c r="C109" s="3" t="s">
        <v>50</v>
      </c>
      <c r="D109" s="3" t="s">
        <v>536</v>
      </c>
      <c r="E109" s="3" t="s">
        <v>537</v>
      </c>
      <c r="F109" s="3" t="s">
        <v>135</v>
      </c>
      <c r="G109" s="15">
        <v>46133</v>
      </c>
      <c r="H109" s="16">
        <f t="shared" si="2"/>
        <v>132</v>
      </c>
      <c r="I109" s="16" t="str">
        <f t="shared" si="3"/>
        <v>121 à 180 dias</v>
      </c>
      <c r="J109" s="4">
        <v>5</v>
      </c>
      <c r="K109" s="5">
        <v>5713.9</v>
      </c>
      <c r="L109" s="6">
        <v>251.05</v>
      </c>
      <c r="M109" s="5">
        <v>6041.04</v>
      </c>
      <c r="N109" s="8">
        <v>20037.38</v>
      </c>
      <c r="O109" s="7">
        <v>254839.94</v>
      </c>
      <c r="P109" s="3" t="s">
        <v>0</v>
      </c>
      <c r="Q109" s="3" t="s">
        <v>5</v>
      </c>
    </row>
    <row r="110" spans="1:17" x14ac:dyDescent="0.25">
      <c r="A110" s="3" t="s">
        <v>538</v>
      </c>
      <c r="B110" s="3" t="s">
        <v>539</v>
      </c>
      <c r="C110" s="3" t="s">
        <v>37</v>
      </c>
      <c r="D110" s="3" t="s">
        <v>540</v>
      </c>
      <c r="E110" s="3" t="s">
        <v>541</v>
      </c>
      <c r="F110" s="3" t="s">
        <v>34</v>
      </c>
      <c r="G110" s="15">
        <v>46133</v>
      </c>
      <c r="H110" s="16">
        <f t="shared" si="2"/>
        <v>178</v>
      </c>
      <c r="I110" s="16" t="str">
        <f t="shared" si="3"/>
        <v>121 à 180 dias</v>
      </c>
      <c r="J110" s="4">
        <v>6</v>
      </c>
      <c r="K110" s="5">
        <v>3619.56</v>
      </c>
      <c r="L110" s="6">
        <v>196.06</v>
      </c>
      <c r="M110" s="5">
        <v>3815.62</v>
      </c>
      <c r="N110" s="5">
        <v>4162.92</v>
      </c>
      <c r="O110" s="7">
        <v>107263.1</v>
      </c>
      <c r="P110" s="3" t="s">
        <v>0</v>
      </c>
      <c r="Q110" s="3" t="s">
        <v>5</v>
      </c>
    </row>
    <row r="111" spans="1:17" x14ac:dyDescent="0.25">
      <c r="A111" s="3" t="s">
        <v>542</v>
      </c>
      <c r="B111" s="3" t="s">
        <v>543</v>
      </c>
      <c r="C111" s="3" t="s">
        <v>190</v>
      </c>
      <c r="D111" s="3" t="s">
        <v>544</v>
      </c>
      <c r="E111" s="3" t="s">
        <v>212</v>
      </c>
      <c r="F111" s="3" t="s">
        <v>239</v>
      </c>
      <c r="G111" s="15">
        <v>46133</v>
      </c>
      <c r="H111" s="16">
        <f t="shared" si="2"/>
        <v>142</v>
      </c>
      <c r="I111" s="16" t="str">
        <f t="shared" si="3"/>
        <v>121 à 180 dias</v>
      </c>
      <c r="J111" s="4">
        <v>1</v>
      </c>
      <c r="K111" s="5">
        <v>2770.83</v>
      </c>
      <c r="L111" s="6">
        <v>185.65</v>
      </c>
      <c r="M111" s="5">
        <v>2956.48</v>
      </c>
      <c r="N111" s="8">
        <v>12150.78</v>
      </c>
      <c r="O111" s="7">
        <v>293572.11</v>
      </c>
      <c r="P111" s="3" t="s">
        <v>0</v>
      </c>
      <c r="Q111" s="3" t="s">
        <v>5</v>
      </c>
    </row>
    <row r="112" spans="1:17" x14ac:dyDescent="0.25">
      <c r="A112" s="3" t="s">
        <v>545</v>
      </c>
      <c r="B112" s="3" t="s">
        <v>546</v>
      </c>
      <c r="C112" s="3" t="s">
        <v>25</v>
      </c>
      <c r="D112" s="3" t="s">
        <v>547</v>
      </c>
      <c r="E112" s="3" t="s">
        <v>187</v>
      </c>
      <c r="F112" s="3" t="s">
        <v>271</v>
      </c>
      <c r="G112" s="15">
        <v>46133</v>
      </c>
      <c r="H112" s="16">
        <f t="shared" si="2"/>
        <v>173</v>
      </c>
      <c r="I112" s="16" t="str">
        <f t="shared" si="3"/>
        <v>121 à 180 dias</v>
      </c>
      <c r="J112" s="4">
        <v>1</v>
      </c>
      <c r="K112" s="6">
        <v>669.66</v>
      </c>
      <c r="L112" s="9">
        <v>52.28</v>
      </c>
      <c r="M112" s="6">
        <v>721.94</v>
      </c>
      <c r="N112" s="8">
        <v>51966.78</v>
      </c>
      <c r="O112" s="8">
        <v>27456.06</v>
      </c>
      <c r="P112" s="3" t="s">
        <v>0</v>
      </c>
      <c r="Q112" s="3" t="s">
        <v>5</v>
      </c>
    </row>
    <row r="113" spans="1:17" x14ac:dyDescent="0.25">
      <c r="A113" s="3" t="s">
        <v>548</v>
      </c>
      <c r="B113" s="3" t="s">
        <v>549</v>
      </c>
      <c r="C113" s="3" t="s">
        <v>37</v>
      </c>
      <c r="D113" s="3" t="s">
        <v>550</v>
      </c>
      <c r="E113" s="3" t="s">
        <v>262</v>
      </c>
      <c r="F113" s="3" t="s">
        <v>153</v>
      </c>
      <c r="G113" s="15">
        <v>46133</v>
      </c>
      <c r="H113" s="16">
        <f t="shared" si="2"/>
        <v>152</v>
      </c>
      <c r="I113" s="16" t="str">
        <f t="shared" si="3"/>
        <v>121 à 180 dias</v>
      </c>
      <c r="J113" s="4">
        <v>4</v>
      </c>
      <c r="K113" s="5">
        <v>2074.2399999999998</v>
      </c>
      <c r="L113" s="9">
        <v>96.05</v>
      </c>
      <c r="M113" s="5">
        <v>2170.29</v>
      </c>
      <c r="N113" s="5">
        <v>8318.16</v>
      </c>
      <c r="O113" s="7">
        <v>116157.44</v>
      </c>
      <c r="P113" s="3" t="s">
        <v>0</v>
      </c>
      <c r="Q113" s="3" t="s">
        <v>5</v>
      </c>
    </row>
    <row r="114" spans="1:17" x14ac:dyDescent="0.25">
      <c r="A114" s="3" t="s">
        <v>551</v>
      </c>
      <c r="B114" s="3" t="s">
        <v>552</v>
      </c>
      <c r="C114" s="3" t="s">
        <v>50</v>
      </c>
      <c r="D114" s="3" t="s">
        <v>553</v>
      </c>
      <c r="E114" s="3" t="s">
        <v>554</v>
      </c>
      <c r="F114" s="3" t="s">
        <v>144</v>
      </c>
      <c r="G114" s="15">
        <v>46133</v>
      </c>
      <c r="H114" s="16">
        <f t="shared" si="2"/>
        <v>127</v>
      </c>
      <c r="I114" s="16" t="str">
        <f t="shared" si="3"/>
        <v>121 à 180 dias</v>
      </c>
      <c r="J114" s="4">
        <v>4</v>
      </c>
      <c r="K114" s="5">
        <v>6691.76</v>
      </c>
      <c r="L114" s="6">
        <v>335.74</v>
      </c>
      <c r="M114" s="5">
        <v>7106.29</v>
      </c>
      <c r="N114" s="5">
        <v>3345.88</v>
      </c>
      <c r="O114" s="7">
        <v>197406.92</v>
      </c>
      <c r="P114" s="3" t="s">
        <v>0</v>
      </c>
      <c r="Q114" s="3" t="s">
        <v>5</v>
      </c>
    </row>
    <row r="115" spans="1:17" x14ac:dyDescent="0.25">
      <c r="A115" s="3" t="s">
        <v>555</v>
      </c>
      <c r="B115" s="3" t="s">
        <v>556</v>
      </c>
      <c r="C115" s="3" t="s">
        <v>349</v>
      </c>
      <c r="D115" s="3" t="s">
        <v>557</v>
      </c>
      <c r="E115" s="3" t="s">
        <v>558</v>
      </c>
      <c r="F115" s="3" t="s">
        <v>135</v>
      </c>
      <c r="G115" s="15">
        <v>46133</v>
      </c>
      <c r="H115" s="16">
        <f t="shared" si="2"/>
        <v>132</v>
      </c>
      <c r="I115" s="16" t="str">
        <f t="shared" si="3"/>
        <v>121 à 180 dias</v>
      </c>
      <c r="J115" s="4">
        <v>5</v>
      </c>
      <c r="K115" s="5">
        <v>9574.35</v>
      </c>
      <c r="L115" s="6">
        <v>418.1</v>
      </c>
      <c r="M115" s="5">
        <v>9992.4500000000007</v>
      </c>
      <c r="N115" s="7">
        <v>204799.48</v>
      </c>
      <c r="O115" s="7">
        <v>173253.36</v>
      </c>
      <c r="P115" s="3" t="s">
        <v>0</v>
      </c>
      <c r="Q115" s="3" t="s">
        <v>5</v>
      </c>
    </row>
    <row r="116" spans="1:17" x14ac:dyDescent="0.25">
      <c r="A116" s="3" t="s">
        <v>559</v>
      </c>
      <c r="B116" s="3" t="s">
        <v>560</v>
      </c>
      <c r="C116" s="3" t="s">
        <v>120</v>
      </c>
      <c r="D116" s="3" t="s">
        <v>561</v>
      </c>
      <c r="E116" s="3" t="s">
        <v>562</v>
      </c>
      <c r="F116" s="3" t="s">
        <v>53</v>
      </c>
      <c r="G116" s="15">
        <v>46133</v>
      </c>
      <c r="H116" s="16">
        <f t="shared" si="2"/>
        <v>162</v>
      </c>
      <c r="I116" s="16" t="str">
        <f t="shared" si="3"/>
        <v>121 à 180 dias</v>
      </c>
      <c r="J116" s="4">
        <v>2</v>
      </c>
      <c r="K116" s="5">
        <v>3218.68</v>
      </c>
      <c r="L116" s="6">
        <v>158.47999999999999</v>
      </c>
      <c r="M116" s="5">
        <v>3377.16</v>
      </c>
      <c r="N116" s="7">
        <v>102431.23</v>
      </c>
      <c r="O116" s="7">
        <v>243660.46</v>
      </c>
      <c r="P116" s="3" t="s">
        <v>0</v>
      </c>
      <c r="Q116" s="3" t="s">
        <v>5</v>
      </c>
    </row>
    <row r="117" spans="1:17" x14ac:dyDescent="0.25">
      <c r="A117" s="3" t="s">
        <v>563</v>
      </c>
      <c r="B117" s="3" t="s">
        <v>564</v>
      </c>
      <c r="C117" s="3" t="s">
        <v>190</v>
      </c>
      <c r="D117" s="3" t="s">
        <v>565</v>
      </c>
      <c r="E117" s="3" t="s">
        <v>566</v>
      </c>
      <c r="F117" s="3" t="s">
        <v>135</v>
      </c>
      <c r="G117" s="15">
        <v>46133</v>
      </c>
      <c r="H117" s="16">
        <f t="shared" si="2"/>
        <v>132</v>
      </c>
      <c r="I117" s="16" t="str">
        <f t="shared" si="3"/>
        <v>121 à 180 dias</v>
      </c>
      <c r="J117" s="4">
        <v>5</v>
      </c>
      <c r="K117" s="8">
        <v>35843.5</v>
      </c>
      <c r="L117" s="5">
        <v>2253.58</v>
      </c>
      <c r="M117" s="5">
        <v>38292.080000000002</v>
      </c>
      <c r="N117" s="10">
        <v>0</v>
      </c>
      <c r="O117" s="7">
        <v>185734.5</v>
      </c>
      <c r="P117" s="3" t="s">
        <v>0</v>
      </c>
      <c r="Q117" s="3" t="s">
        <v>5</v>
      </c>
    </row>
    <row r="118" spans="1:17" x14ac:dyDescent="0.25">
      <c r="A118" s="3" t="s">
        <v>567</v>
      </c>
      <c r="B118" s="3" t="s">
        <v>568</v>
      </c>
      <c r="C118" s="3" t="s">
        <v>50</v>
      </c>
      <c r="D118" s="3" t="s">
        <v>569</v>
      </c>
      <c r="E118" s="3" t="s">
        <v>570</v>
      </c>
      <c r="F118" s="3" t="s">
        <v>62</v>
      </c>
      <c r="G118" s="15">
        <v>46133</v>
      </c>
      <c r="H118" s="16">
        <f t="shared" si="2"/>
        <v>137</v>
      </c>
      <c r="I118" s="16" t="str">
        <f t="shared" si="3"/>
        <v>121 à 180 dias</v>
      </c>
      <c r="J118" s="4">
        <v>1</v>
      </c>
      <c r="K118" s="5">
        <v>3358.19</v>
      </c>
      <c r="L118" s="6">
        <v>221.64</v>
      </c>
      <c r="M118" s="5">
        <v>3579.83</v>
      </c>
      <c r="N118" s="8">
        <v>33974.35</v>
      </c>
      <c r="O118" s="7">
        <v>231295.13</v>
      </c>
      <c r="P118" s="3" t="s">
        <v>0</v>
      </c>
      <c r="Q118" s="3" t="s">
        <v>5</v>
      </c>
    </row>
    <row r="119" spans="1:17" x14ac:dyDescent="0.25">
      <c r="A119" s="3" t="s">
        <v>571</v>
      </c>
      <c r="B119" s="3" t="s">
        <v>572</v>
      </c>
      <c r="C119" s="3" t="s">
        <v>128</v>
      </c>
      <c r="D119" s="3" t="s">
        <v>573</v>
      </c>
      <c r="E119" s="3" t="s">
        <v>574</v>
      </c>
      <c r="F119" s="3" t="s">
        <v>153</v>
      </c>
      <c r="G119" s="15">
        <v>46133</v>
      </c>
      <c r="H119" s="16">
        <f t="shared" si="2"/>
        <v>152</v>
      </c>
      <c r="I119" s="16" t="str">
        <f t="shared" si="3"/>
        <v>121 à 180 dias</v>
      </c>
      <c r="J119" s="11">
        <v>17</v>
      </c>
      <c r="K119" s="8">
        <v>32247.919999999998</v>
      </c>
      <c r="L119" s="5">
        <v>1460.55</v>
      </c>
      <c r="M119" s="8">
        <v>33708.47</v>
      </c>
      <c r="N119" s="8">
        <v>64638.07</v>
      </c>
      <c r="O119" s="7">
        <v>649525.04</v>
      </c>
      <c r="P119" s="3" t="s">
        <v>0</v>
      </c>
      <c r="Q119" s="3" t="s">
        <v>5</v>
      </c>
    </row>
    <row r="120" spans="1:17" x14ac:dyDescent="0.25">
      <c r="A120" s="3" t="s">
        <v>575</v>
      </c>
      <c r="B120" s="3" t="s">
        <v>576</v>
      </c>
      <c r="C120" s="3" t="s">
        <v>25</v>
      </c>
      <c r="D120" s="3" t="s">
        <v>577</v>
      </c>
      <c r="E120" s="3" t="s">
        <v>578</v>
      </c>
      <c r="F120" s="3" t="s">
        <v>28</v>
      </c>
      <c r="G120" s="15">
        <v>46133</v>
      </c>
      <c r="H120" s="16">
        <f t="shared" si="2"/>
        <v>122</v>
      </c>
      <c r="I120" s="16" t="str">
        <f t="shared" si="3"/>
        <v>121 à 180 dias</v>
      </c>
      <c r="J120" s="11">
        <v>10</v>
      </c>
      <c r="K120" s="5">
        <v>7795.86</v>
      </c>
      <c r="L120" s="6">
        <v>335.31</v>
      </c>
      <c r="M120" s="5">
        <v>8131.17</v>
      </c>
      <c r="N120" s="8">
        <v>83681.649999999994</v>
      </c>
      <c r="O120" s="8">
        <v>21684.03</v>
      </c>
      <c r="P120" s="3" t="s">
        <v>0</v>
      </c>
      <c r="Q120" s="3" t="s">
        <v>5</v>
      </c>
    </row>
    <row r="121" spans="1:17" x14ac:dyDescent="0.25">
      <c r="A121" s="3" t="s">
        <v>579</v>
      </c>
      <c r="B121" s="3" t="s">
        <v>580</v>
      </c>
      <c r="C121" s="3" t="s">
        <v>25</v>
      </c>
      <c r="D121" s="3" t="s">
        <v>581</v>
      </c>
      <c r="E121" s="3" t="s">
        <v>582</v>
      </c>
      <c r="F121" s="3" t="s">
        <v>583</v>
      </c>
      <c r="G121" s="15">
        <v>46133</v>
      </c>
      <c r="H121" s="16">
        <f t="shared" si="2"/>
        <v>160</v>
      </c>
      <c r="I121" s="16" t="str">
        <f t="shared" si="3"/>
        <v>121 à 180 dias</v>
      </c>
      <c r="J121" s="4">
        <v>3</v>
      </c>
      <c r="K121" s="5">
        <v>6200.44</v>
      </c>
      <c r="L121" s="6">
        <v>346.47</v>
      </c>
      <c r="M121" s="5">
        <v>6546.91</v>
      </c>
      <c r="N121" s="8">
        <v>89034.86</v>
      </c>
      <c r="O121" s="8">
        <v>10731.49</v>
      </c>
      <c r="P121" s="3" t="s">
        <v>0</v>
      </c>
      <c r="Q121" s="3" t="s">
        <v>5</v>
      </c>
    </row>
    <row r="122" spans="1:17" x14ac:dyDescent="0.25">
      <c r="A122" s="3" t="s">
        <v>584</v>
      </c>
      <c r="B122" s="3" t="s">
        <v>585</v>
      </c>
      <c r="C122" s="3" t="s">
        <v>190</v>
      </c>
      <c r="D122" s="3" t="s">
        <v>586</v>
      </c>
      <c r="E122" s="3" t="s">
        <v>587</v>
      </c>
      <c r="F122" s="3" t="s">
        <v>307</v>
      </c>
      <c r="G122" s="15">
        <v>46133</v>
      </c>
      <c r="H122" s="16">
        <f t="shared" si="2"/>
        <v>144</v>
      </c>
      <c r="I122" s="16" t="str">
        <f t="shared" si="3"/>
        <v>121 à 180 dias</v>
      </c>
      <c r="J122" s="4">
        <v>5</v>
      </c>
      <c r="K122" s="8">
        <v>20419.68</v>
      </c>
      <c r="L122" s="5">
        <v>1229.1099999999999</v>
      </c>
      <c r="M122" s="5">
        <v>21881.59</v>
      </c>
      <c r="N122" s="10">
        <v>0</v>
      </c>
      <c r="O122" s="7">
        <v>221699.58</v>
      </c>
      <c r="P122" s="3" t="s">
        <v>0</v>
      </c>
      <c r="Q122" s="3" t="s">
        <v>5</v>
      </c>
    </row>
    <row r="123" spans="1:17" x14ac:dyDescent="0.25">
      <c r="A123" s="3" t="s">
        <v>588</v>
      </c>
      <c r="B123" s="3" t="s">
        <v>589</v>
      </c>
      <c r="C123" s="3" t="s">
        <v>50</v>
      </c>
      <c r="D123" s="3" t="s">
        <v>590</v>
      </c>
      <c r="E123" s="3" t="s">
        <v>591</v>
      </c>
      <c r="F123" s="3" t="s">
        <v>135</v>
      </c>
      <c r="G123" s="15">
        <v>46133</v>
      </c>
      <c r="H123" s="16">
        <f t="shared" si="2"/>
        <v>132</v>
      </c>
      <c r="I123" s="16" t="str">
        <f t="shared" si="3"/>
        <v>121 à 180 dias</v>
      </c>
      <c r="J123" s="4">
        <v>3</v>
      </c>
      <c r="K123" s="5">
        <v>2940.78</v>
      </c>
      <c r="L123" s="6">
        <v>140.41999999999999</v>
      </c>
      <c r="M123" s="5">
        <v>3122.29</v>
      </c>
      <c r="N123" s="8">
        <v>45607.07</v>
      </c>
      <c r="O123" s="7">
        <v>187229.66</v>
      </c>
      <c r="P123" s="3" t="s">
        <v>0</v>
      </c>
      <c r="Q123" s="3" t="s">
        <v>5</v>
      </c>
    </row>
    <row r="124" spans="1:17" x14ac:dyDescent="0.25">
      <c r="A124" s="3" t="s">
        <v>592</v>
      </c>
      <c r="B124" s="3" t="s">
        <v>593</v>
      </c>
      <c r="C124" s="3" t="s">
        <v>128</v>
      </c>
      <c r="D124" s="3" t="s">
        <v>594</v>
      </c>
      <c r="E124" s="3" t="s">
        <v>595</v>
      </c>
      <c r="F124" s="3" t="s">
        <v>53</v>
      </c>
      <c r="G124" s="15">
        <v>46133</v>
      </c>
      <c r="H124" s="16">
        <f t="shared" si="2"/>
        <v>162</v>
      </c>
      <c r="I124" s="16" t="str">
        <f t="shared" si="3"/>
        <v>121 à 180 dias</v>
      </c>
      <c r="J124" s="11">
        <v>11</v>
      </c>
      <c r="K124" s="5">
        <v>6682.67</v>
      </c>
      <c r="L124" s="6">
        <v>333.35</v>
      </c>
      <c r="M124" s="5">
        <v>7016.02</v>
      </c>
      <c r="N124" s="8">
        <v>51887.07</v>
      </c>
      <c r="O124" s="7">
        <v>215402.98</v>
      </c>
      <c r="P124" s="3" t="s">
        <v>0</v>
      </c>
      <c r="Q124" s="3" t="s">
        <v>5</v>
      </c>
    </row>
    <row r="125" spans="1:17" x14ac:dyDescent="0.25">
      <c r="A125" s="3" t="s">
        <v>596</v>
      </c>
      <c r="B125" s="3" t="s">
        <v>597</v>
      </c>
      <c r="C125" s="3" t="s">
        <v>50</v>
      </c>
      <c r="D125" s="3" t="s">
        <v>598</v>
      </c>
      <c r="E125" s="3" t="s">
        <v>442</v>
      </c>
      <c r="F125" s="3" t="s">
        <v>144</v>
      </c>
      <c r="G125" s="15">
        <v>46133</v>
      </c>
      <c r="H125" s="16">
        <f t="shared" si="2"/>
        <v>127</v>
      </c>
      <c r="I125" s="16" t="str">
        <f t="shared" si="3"/>
        <v>121 à 180 dias</v>
      </c>
      <c r="J125" s="4">
        <v>9</v>
      </c>
      <c r="K125" s="5">
        <v>7494.11</v>
      </c>
      <c r="L125" s="6">
        <v>293.47000000000003</v>
      </c>
      <c r="M125" s="5">
        <v>7931.62</v>
      </c>
      <c r="N125" s="8">
        <v>30597.63</v>
      </c>
      <c r="O125" s="7">
        <v>199932.19</v>
      </c>
      <c r="P125" s="3" t="s">
        <v>0</v>
      </c>
      <c r="Q125" s="3" t="s">
        <v>5</v>
      </c>
    </row>
    <row r="126" spans="1:17" x14ac:dyDescent="0.25">
      <c r="A126" s="3" t="s">
        <v>599</v>
      </c>
      <c r="B126" s="3" t="s">
        <v>600</v>
      </c>
      <c r="C126" s="3" t="s">
        <v>120</v>
      </c>
      <c r="D126" s="3" t="s">
        <v>601</v>
      </c>
      <c r="E126" s="3" t="s">
        <v>602</v>
      </c>
      <c r="F126" s="3" t="s">
        <v>153</v>
      </c>
      <c r="G126" s="15">
        <v>46133</v>
      </c>
      <c r="H126" s="16">
        <f t="shared" si="2"/>
        <v>152</v>
      </c>
      <c r="I126" s="16" t="str">
        <f t="shared" si="3"/>
        <v>121 à 180 dias</v>
      </c>
      <c r="J126" s="4">
        <v>5</v>
      </c>
      <c r="K126" s="5">
        <v>8039.16</v>
      </c>
      <c r="L126" s="6">
        <v>337.96</v>
      </c>
      <c r="M126" s="5">
        <v>8377.1200000000008</v>
      </c>
      <c r="N126" s="8">
        <v>82173.09</v>
      </c>
      <c r="O126" s="7">
        <v>165912.12</v>
      </c>
      <c r="P126" s="3" t="s">
        <v>0</v>
      </c>
      <c r="Q126" s="3" t="s">
        <v>5</v>
      </c>
    </row>
    <row r="127" spans="1:17" x14ac:dyDescent="0.25">
      <c r="A127" s="3" t="s">
        <v>603</v>
      </c>
      <c r="B127" s="3" t="s">
        <v>604</v>
      </c>
      <c r="C127" s="3" t="s">
        <v>50</v>
      </c>
      <c r="D127" s="3" t="s">
        <v>605</v>
      </c>
      <c r="E127" s="3" t="s">
        <v>606</v>
      </c>
      <c r="F127" s="3" t="s">
        <v>144</v>
      </c>
      <c r="G127" s="15">
        <v>46133</v>
      </c>
      <c r="H127" s="16">
        <f t="shared" si="2"/>
        <v>127</v>
      </c>
      <c r="I127" s="16" t="str">
        <f t="shared" si="3"/>
        <v>121 à 180 dias</v>
      </c>
      <c r="J127" s="11">
        <v>10</v>
      </c>
      <c r="K127" s="5">
        <v>6766.36</v>
      </c>
      <c r="L127" s="6">
        <v>291.02999999999997</v>
      </c>
      <c r="M127" s="5">
        <v>7175.26</v>
      </c>
      <c r="N127" s="8">
        <v>19071.939999999999</v>
      </c>
      <c r="O127" s="7">
        <v>189411.32</v>
      </c>
      <c r="P127" s="3" t="s">
        <v>0</v>
      </c>
      <c r="Q127" s="3" t="s">
        <v>5</v>
      </c>
    </row>
    <row r="128" spans="1:17" x14ac:dyDescent="0.25">
      <c r="A128" s="3" t="s">
        <v>607</v>
      </c>
      <c r="B128" s="3" t="s">
        <v>608</v>
      </c>
      <c r="C128" s="3" t="s">
        <v>25</v>
      </c>
      <c r="D128" s="3" t="s">
        <v>609</v>
      </c>
      <c r="E128" s="3" t="s">
        <v>610</v>
      </c>
      <c r="F128" s="3" t="s">
        <v>62</v>
      </c>
      <c r="G128" s="15">
        <v>46133</v>
      </c>
      <c r="H128" s="16">
        <f t="shared" si="2"/>
        <v>137</v>
      </c>
      <c r="I128" s="16" t="str">
        <f t="shared" si="3"/>
        <v>121 à 180 dias</v>
      </c>
      <c r="J128" s="4">
        <v>1</v>
      </c>
      <c r="K128" s="5">
        <v>2166.08</v>
      </c>
      <c r="L128" s="6">
        <v>142.96</v>
      </c>
      <c r="M128" s="5">
        <v>2309.04</v>
      </c>
      <c r="N128" s="8">
        <v>45992.91</v>
      </c>
      <c r="O128" s="8">
        <v>55235.040000000001</v>
      </c>
      <c r="P128" s="3" t="s">
        <v>0</v>
      </c>
      <c r="Q128" s="3" t="s">
        <v>5</v>
      </c>
    </row>
    <row r="129" spans="1:17" x14ac:dyDescent="0.25">
      <c r="A129" s="3" t="s">
        <v>611</v>
      </c>
      <c r="B129" s="3" t="s">
        <v>612</v>
      </c>
      <c r="C129" s="3" t="s">
        <v>37</v>
      </c>
      <c r="D129" s="3" t="s">
        <v>613</v>
      </c>
      <c r="E129" s="3" t="s">
        <v>27</v>
      </c>
      <c r="F129" s="3" t="s">
        <v>44</v>
      </c>
      <c r="G129" s="15">
        <v>46133</v>
      </c>
      <c r="H129" s="16">
        <f t="shared" si="2"/>
        <v>147</v>
      </c>
      <c r="I129" s="16" t="str">
        <f t="shared" si="3"/>
        <v>121 à 180 dias</v>
      </c>
      <c r="J129" s="4">
        <v>3</v>
      </c>
      <c r="K129" s="5">
        <v>1575.09</v>
      </c>
      <c r="L129" s="9">
        <v>84.81</v>
      </c>
      <c r="M129" s="5">
        <v>1659.9</v>
      </c>
      <c r="N129" s="5">
        <v>6514.35</v>
      </c>
      <c r="O129" s="7">
        <v>125991.09</v>
      </c>
      <c r="P129" s="3" t="s">
        <v>0</v>
      </c>
      <c r="Q129" s="3" t="s">
        <v>5</v>
      </c>
    </row>
    <row r="130" spans="1:17" x14ac:dyDescent="0.25">
      <c r="A130" s="3" t="s">
        <v>614</v>
      </c>
      <c r="B130" s="3" t="s">
        <v>615</v>
      </c>
      <c r="C130" s="3" t="s">
        <v>25</v>
      </c>
      <c r="D130" s="3" t="s">
        <v>616</v>
      </c>
      <c r="E130" s="3" t="s">
        <v>617</v>
      </c>
      <c r="F130" s="3" t="s">
        <v>618</v>
      </c>
      <c r="G130" s="15">
        <v>46133</v>
      </c>
      <c r="H130" s="16">
        <f t="shared" ref="H130:H193" si="4">G130-F130</f>
        <v>146</v>
      </c>
      <c r="I130" s="16" t="str">
        <f t="shared" ref="I130:I193" si="5">+IF(H130&lt;35,"Adimplente",IF(H130&lt;=60,"35 à 60 dias",IF(H130&lt;=90,"61 à 90 dias",IF(H130&lt;=120,"91 à 120 dias",IF(H130&lt;=180,"121 à 180 dias",IF(H130&lt;=240,"181 à 240 dias",IF(H130&lt;=365,"241 à 365 dias","Maior 365 dias")))))))</f>
        <v>121 à 180 dias</v>
      </c>
      <c r="J130" s="4">
        <v>5</v>
      </c>
      <c r="K130" s="5">
        <v>7936.56</v>
      </c>
      <c r="L130" s="6">
        <v>457.14</v>
      </c>
      <c r="M130" s="5">
        <v>8393.7000000000007</v>
      </c>
      <c r="N130" s="8">
        <v>58049.66</v>
      </c>
      <c r="O130" s="8">
        <v>12896.91</v>
      </c>
      <c r="P130" s="3" t="s">
        <v>0</v>
      </c>
      <c r="Q130" s="3" t="s">
        <v>6</v>
      </c>
    </row>
    <row r="131" spans="1:17" x14ac:dyDescent="0.25">
      <c r="A131" s="3" t="s">
        <v>619</v>
      </c>
      <c r="B131" s="3" t="s">
        <v>620</v>
      </c>
      <c r="C131" s="3" t="s">
        <v>120</v>
      </c>
      <c r="D131" s="3" t="s">
        <v>621</v>
      </c>
      <c r="E131" s="3" t="s">
        <v>622</v>
      </c>
      <c r="F131" s="3" t="s">
        <v>75</v>
      </c>
      <c r="G131" s="15">
        <v>46133</v>
      </c>
      <c r="H131" s="16">
        <f t="shared" si="4"/>
        <v>157</v>
      </c>
      <c r="I131" s="16" t="str">
        <f t="shared" si="5"/>
        <v>121 à 180 dias</v>
      </c>
      <c r="J131" s="11">
        <v>10</v>
      </c>
      <c r="K131" s="8">
        <v>20462.66</v>
      </c>
      <c r="L131" s="5">
        <v>1109.4000000000001</v>
      </c>
      <c r="M131" s="8">
        <v>21572.06</v>
      </c>
      <c r="N131" s="8">
        <v>80299.92</v>
      </c>
      <c r="O131" s="7">
        <v>208306.86</v>
      </c>
      <c r="P131" s="3" t="s">
        <v>0</v>
      </c>
      <c r="Q131" s="3" t="s">
        <v>6</v>
      </c>
    </row>
    <row r="132" spans="1:17" x14ac:dyDescent="0.25">
      <c r="A132" s="3" t="s">
        <v>623</v>
      </c>
      <c r="B132" s="3" t="s">
        <v>624</v>
      </c>
      <c r="C132" s="3" t="s">
        <v>120</v>
      </c>
      <c r="D132" s="3" t="s">
        <v>625</v>
      </c>
      <c r="E132" s="3" t="s">
        <v>626</v>
      </c>
      <c r="F132" s="3" t="s">
        <v>75</v>
      </c>
      <c r="G132" s="15">
        <v>46133</v>
      </c>
      <c r="H132" s="16">
        <f t="shared" si="4"/>
        <v>157</v>
      </c>
      <c r="I132" s="16" t="str">
        <f t="shared" si="5"/>
        <v>121 à 180 dias</v>
      </c>
      <c r="J132" s="11">
        <v>10</v>
      </c>
      <c r="K132" s="8">
        <v>25969.62</v>
      </c>
      <c r="L132" s="5">
        <v>1140.3900000000001</v>
      </c>
      <c r="M132" s="8">
        <v>27110.01</v>
      </c>
      <c r="N132" s="8">
        <v>59405.47</v>
      </c>
      <c r="O132" s="7">
        <v>201219.31</v>
      </c>
      <c r="P132" s="3" t="s">
        <v>0</v>
      </c>
      <c r="Q132" s="3" t="s">
        <v>6</v>
      </c>
    </row>
    <row r="133" spans="1:17" x14ac:dyDescent="0.25">
      <c r="A133" s="3" t="s">
        <v>627</v>
      </c>
      <c r="B133" s="3" t="s">
        <v>628</v>
      </c>
      <c r="C133" s="3" t="s">
        <v>128</v>
      </c>
      <c r="D133" s="3" t="s">
        <v>629</v>
      </c>
      <c r="E133" s="3" t="s">
        <v>562</v>
      </c>
      <c r="F133" s="3" t="s">
        <v>630</v>
      </c>
      <c r="G133" s="15">
        <v>46133</v>
      </c>
      <c r="H133" s="16">
        <f t="shared" si="4"/>
        <v>170</v>
      </c>
      <c r="I133" s="16" t="str">
        <f t="shared" si="5"/>
        <v>121 à 180 dias</v>
      </c>
      <c r="J133" s="11">
        <v>10</v>
      </c>
      <c r="K133" s="8">
        <v>17575.580000000002</v>
      </c>
      <c r="L133" s="6">
        <v>872.84</v>
      </c>
      <c r="M133" s="8">
        <v>18448.419999999998</v>
      </c>
      <c r="N133" s="8">
        <v>76843.509999999995</v>
      </c>
      <c r="O133" s="7">
        <v>305319.96999999997</v>
      </c>
      <c r="P133" s="3" t="s">
        <v>0</v>
      </c>
      <c r="Q133" s="3" t="s">
        <v>6</v>
      </c>
    </row>
    <row r="134" spans="1:17" x14ac:dyDescent="0.25">
      <c r="A134" s="3" t="s">
        <v>631</v>
      </c>
      <c r="B134" s="3" t="s">
        <v>632</v>
      </c>
      <c r="C134" s="3" t="s">
        <v>120</v>
      </c>
      <c r="D134" s="3" t="s">
        <v>633</v>
      </c>
      <c r="E134" s="3" t="s">
        <v>626</v>
      </c>
      <c r="F134" s="3" t="s">
        <v>634</v>
      </c>
      <c r="G134" s="15">
        <v>46133</v>
      </c>
      <c r="H134" s="16">
        <f t="shared" si="4"/>
        <v>139</v>
      </c>
      <c r="I134" s="16" t="str">
        <f t="shared" si="5"/>
        <v>121 à 180 dias</v>
      </c>
      <c r="J134" s="4">
        <v>5</v>
      </c>
      <c r="K134" s="8">
        <v>12247.71</v>
      </c>
      <c r="L134" s="6">
        <v>613.46</v>
      </c>
      <c r="M134" s="8">
        <v>12861.17</v>
      </c>
      <c r="N134" s="8">
        <v>65982.94</v>
      </c>
      <c r="O134" s="7">
        <v>212779.84</v>
      </c>
      <c r="P134" s="3" t="s">
        <v>0</v>
      </c>
      <c r="Q134" s="3" t="s">
        <v>6</v>
      </c>
    </row>
    <row r="135" spans="1:17" x14ac:dyDescent="0.25">
      <c r="A135" s="3" t="s">
        <v>635</v>
      </c>
      <c r="B135" s="3" t="s">
        <v>636</v>
      </c>
      <c r="C135" s="3" t="s">
        <v>349</v>
      </c>
      <c r="D135" s="3" t="s">
        <v>637</v>
      </c>
      <c r="E135" s="3" t="s">
        <v>524</v>
      </c>
      <c r="F135" s="3" t="s">
        <v>239</v>
      </c>
      <c r="G135" s="15">
        <v>46133</v>
      </c>
      <c r="H135" s="16">
        <f t="shared" si="4"/>
        <v>142</v>
      </c>
      <c r="I135" s="16" t="str">
        <f t="shared" si="5"/>
        <v>121 à 180 dias</v>
      </c>
      <c r="J135" s="4">
        <v>2</v>
      </c>
      <c r="K135" s="5">
        <v>1942.33</v>
      </c>
      <c r="L135" s="9">
        <v>85.91</v>
      </c>
      <c r="M135" s="5">
        <v>2028.24</v>
      </c>
      <c r="N135" s="8">
        <v>84863.22</v>
      </c>
      <c r="O135" s="7">
        <v>163138.32999999999</v>
      </c>
      <c r="P135" s="3" t="s">
        <v>0</v>
      </c>
      <c r="Q135" s="3" t="s">
        <v>7</v>
      </c>
    </row>
    <row r="136" spans="1:17" x14ac:dyDescent="0.25">
      <c r="A136" s="3" t="s">
        <v>224</v>
      </c>
      <c r="B136" s="3" t="s">
        <v>636</v>
      </c>
      <c r="C136" s="3" t="s">
        <v>349</v>
      </c>
      <c r="D136" s="3" t="s">
        <v>638</v>
      </c>
      <c r="E136" s="3" t="s">
        <v>639</v>
      </c>
      <c r="F136" s="3" t="s">
        <v>53</v>
      </c>
      <c r="G136" s="15">
        <v>46133</v>
      </c>
      <c r="H136" s="16">
        <f t="shared" si="4"/>
        <v>162</v>
      </c>
      <c r="I136" s="16" t="str">
        <f t="shared" si="5"/>
        <v>121 à 180 dias</v>
      </c>
      <c r="J136" s="4">
        <v>8</v>
      </c>
      <c r="K136" s="8">
        <v>12628.77</v>
      </c>
      <c r="L136" s="6">
        <v>753.68</v>
      </c>
      <c r="M136" s="8">
        <v>13382.45</v>
      </c>
      <c r="N136" s="8">
        <v>93841.73</v>
      </c>
      <c r="O136" s="7">
        <v>224395.07</v>
      </c>
      <c r="P136" s="3" t="s">
        <v>0</v>
      </c>
      <c r="Q136" s="3" t="s">
        <v>7</v>
      </c>
    </row>
    <row r="137" spans="1:17" x14ac:dyDescent="0.25">
      <c r="A137" s="3" t="s">
        <v>736</v>
      </c>
      <c r="B137" s="3" t="s">
        <v>737</v>
      </c>
      <c r="C137" s="3" t="s">
        <v>37</v>
      </c>
      <c r="D137" s="3" t="s">
        <v>738</v>
      </c>
      <c r="E137" s="3" t="s">
        <v>739</v>
      </c>
      <c r="F137" s="3" t="s">
        <v>647</v>
      </c>
      <c r="G137" s="15">
        <v>46133</v>
      </c>
      <c r="H137" s="16">
        <f t="shared" si="4"/>
        <v>239</v>
      </c>
      <c r="I137" s="16" t="str">
        <f t="shared" si="5"/>
        <v>181 à 240 dias</v>
      </c>
      <c r="J137" s="4">
        <v>6</v>
      </c>
      <c r="K137" s="5">
        <v>3290.74</v>
      </c>
      <c r="L137" s="6">
        <v>189.09</v>
      </c>
      <c r="M137" s="5">
        <v>3479.83</v>
      </c>
      <c r="N137" s="5">
        <v>4201.5600000000004</v>
      </c>
      <c r="O137" s="7">
        <v>128300.38</v>
      </c>
      <c r="P137" s="3" t="s">
        <v>0</v>
      </c>
      <c r="Q137" s="3" t="s">
        <v>5</v>
      </c>
    </row>
    <row r="138" spans="1:17" x14ac:dyDescent="0.25">
      <c r="A138" s="3" t="s">
        <v>740</v>
      </c>
      <c r="B138" s="3" t="s">
        <v>741</v>
      </c>
      <c r="C138" s="3" t="s">
        <v>37</v>
      </c>
      <c r="D138" s="3" t="s">
        <v>742</v>
      </c>
      <c r="E138" s="3" t="s">
        <v>743</v>
      </c>
      <c r="F138" s="3" t="s">
        <v>473</v>
      </c>
      <c r="G138" s="15">
        <v>46133</v>
      </c>
      <c r="H138" s="16">
        <f t="shared" si="4"/>
        <v>228</v>
      </c>
      <c r="I138" s="16" t="str">
        <f t="shared" si="5"/>
        <v>181 à 240 dias</v>
      </c>
      <c r="J138" s="4">
        <v>3</v>
      </c>
      <c r="K138" s="5">
        <v>1655.1</v>
      </c>
      <c r="L138" s="6">
        <v>115.33</v>
      </c>
      <c r="M138" s="5">
        <v>1770.43</v>
      </c>
      <c r="N138" s="5">
        <v>8957.2800000000007</v>
      </c>
      <c r="O138" s="7">
        <v>123580.8</v>
      </c>
      <c r="P138" s="3" t="s">
        <v>0</v>
      </c>
      <c r="Q138" s="3" t="s">
        <v>5</v>
      </c>
    </row>
    <row r="139" spans="1:17" x14ac:dyDescent="0.25">
      <c r="A139" s="3" t="s">
        <v>744</v>
      </c>
      <c r="B139" s="3" t="s">
        <v>745</v>
      </c>
      <c r="C139" s="3" t="s">
        <v>128</v>
      </c>
      <c r="D139" s="3" t="s">
        <v>746</v>
      </c>
      <c r="E139" s="3" t="s">
        <v>747</v>
      </c>
      <c r="F139" s="3" t="s">
        <v>703</v>
      </c>
      <c r="G139" s="15">
        <v>46133</v>
      </c>
      <c r="H139" s="16">
        <f t="shared" si="4"/>
        <v>234</v>
      </c>
      <c r="I139" s="16" t="str">
        <f t="shared" si="5"/>
        <v>181 à 240 dias</v>
      </c>
      <c r="J139" s="4">
        <v>1</v>
      </c>
      <c r="K139" s="6">
        <v>848</v>
      </c>
      <c r="L139" s="9">
        <v>82.64</v>
      </c>
      <c r="M139" s="6">
        <v>930.64</v>
      </c>
      <c r="N139" s="8">
        <v>41333.96</v>
      </c>
      <c r="O139" s="7">
        <v>260302.28</v>
      </c>
      <c r="P139" s="3" t="s">
        <v>0</v>
      </c>
      <c r="Q139" s="3" t="s">
        <v>5</v>
      </c>
    </row>
    <row r="140" spans="1:17" x14ac:dyDescent="0.25">
      <c r="A140" s="3" t="s">
        <v>748</v>
      </c>
      <c r="B140" s="3" t="s">
        <v>749</v>
      </c>
      <c r="C140" s="3" t="s">
        <v>50</v>
      </c>
      <c r="D140" s="3" t="s">
        <v>750</v>
      </c>
      <c r="E140" s="3" t="s">
        <v>751</v>
      </c>
      <c r="F140" s="3" t="s">
        <v>647</v>
      </c>
      <c r="G140" s="15">
        <v>46133</v>
      </c>
      <c r="H140" s="16">
        <f t="shared" si="4"/>
        <v>239</v>
      </c>
      <c r="I140" s="16" t="str">
        <f t="shared" si="5"/>
        <v>181 à 240 dias</v>
      </c>
      <c r="J140" s="4">
        <v>2</v>
      </c>
      <c r="K140" s="5">
        <v>2453.14</v>
      </c>
      <c r="L140" s="6">
        <v>161.32</v>
      </c>
      <c r="M140" s="5">
        <v>2641.58</v>
      </c>
      <c r="N140" s="8">
        <v>25200.15</v>
      </c>
      <c r="O140" s="7">
        <v>268618.83</v>
      </c>
      <c r="P140" s="3" t="s">
        <v>0</v>
      </c>
      <c r="Q140" s="3" t="s">
        <v>5</v>
      </c>
    </row>
    <row r="141" spans="1:17" x14ac:dyDescent="0.25">
      <c r="A141" s="3" t="s">
        <v>752</v>
      </c>
      <c r="B141" s="3" t="s">
        <v>753</v>
      </c>
      <c r="C141" s="3" t="s">
        <v>94</v>
      </c>
      <c r="D141" s="3" t="s">
        <v>754</v>
      </c>
      <c r="E141" s="3" t="s">
        <v>755</v>
      </c>
      <c r="F141" s="3" t="s">
        <v>756</v>
      </c>
      <c r="G141" s="15">
        <v>46133</v>
      </c>
      <c r="H141" s="16">
        <f t="shared" si="4"/>
        <v>188</v>
      </c>
      <c r="I141" s="16" t="str">
        <f t="shared" si="5"/>
        <v>181 à 240 dias</v>
      </c>
      <c r="J141" s="4">
        <v>7</v>
      </c>
      <c r="K141" s="5">
        <v>5763.59</v>
      </c>
      <c r="L141" s="6">
        <v>300.16000000000003</v>
      </c>
      <c r="M141" s="5">
        <v>6063.75</v>
      </c>
      <c r="N141" s="5">
        <v>9998.56</v>
      </c>
      <c r="O141" s="7">
        <v>137502.79</v>
      </c>
      <c r="P141" s="3" t="s">
        <v>0</v>
      </c>
      <c r="Q141" s="3" t="s">
        <v>5</v>
      </c>
    </row>
    <row r="142" spans="1:17" x14ac:dyDescent="0.25">
      <c r="A142" s="3" t="s">
        <v>757</v>
      </c>
      <c r="B142" s="3" t="s">
        <v>758</v>
      </c>
      <c r="C142" s="3" t="s">
        <v>759</v>
      </c>
      <c r="D142" s="3" t="s">
        <v>760</v>
      </c>
      <c r="E142" s="3" t="s">
        <v>761</v>
      </c>
      <c r="F142" s="3" t="s">
        <v>762</v>
      </c>
      <c r="G142" s="15">
        <v>46133</v>
      </c>
      <c r="H142" s="16">
        <f t="shared" si="4"/>
        <v>233</v>
      </c>
      <c r="I142" s="16" t="str">
        <f t="shared" si="5"/>
        <v>181 à 240 dias</v>
      </c>
      <c r="J142" s="4">
        <v>8</v>
      </c>
      <c r="K142" s="5">
        <v>5309.2</v>
      </c>
      <c r="L142" s="6">
        <v>331.32</v>
      </c>
      <c r="M142" s="5">
        <v>5640.52</v>
      </c>
      <c r="N142" s="8">
        <v>63140.22</v>
      </c>
      <c r="O142" s="7">
        <v>102202.1</v>
      </c>
      <c r="P142" s="3" t="s">
        <v>0</v>
      </c>
      <c r="Q142" s="3" t="s">
        <v>5</v>
      </c>
    </row>
    <row r="143" spans="1:17" x14ac:dyDescent="0.25">
      <c r="A143" s="3" t="s">
        <v>763</v>
      </c>
      <c r="B143" s="3" t="s">
        <v>764</v>
      </c>
      <c r="C143" s="3" t="s">
        <v>128</v>
      </c>
      <c r="D143" s="3" t="s">
        <v>765</v>
      </c>
      <c r="E143" s="3" t="s">
        <v>766</v>
      </c>
      <c r="F143" s="3" t="s">
        <v>756</v>
      </c>
      <c r="G143" s="15">
        <v>46133</v>
      </c>
      <c r="H143" s="16">
        <f t="shared" si="4"/>
        <v>188</v>
      </c>
      <c r="I143" s="16" t="str">
        <f t="shared" si="5"/>
        <v>181 à 240 dias</v>
      </c>
      <c r="J143" s="4">
        <v>3</v>
      </c>
      <c r="K143" s="5">
        <v>5907.49</v>
      </c>
      <c r="L143" s="6">
        <v>369.98</v>
      </c>
      <c r="M143" s="5">
        <v>6277.47</v>
      </c>
      <c r="N143" s="8">
        <v>97594.2</v>
      </c>
      <c r="O143" s="7">
        <v>267299.94</v>
      </c>
      <c r="P143" s="3" t="s">
        <v>0</v>
      </c>
      <c r="Q143" s="3" t="s">
        <v>5</v>
      </c>
    </row>
    <row r="144" spans="1:17" x14ac:dyDescent="0.25">
      <c r="A144" s="3" t="s">
        <v>767</v>
      </c>
      <c r="B144" s="3" t="s">
        <v>168</v>
      </c>
      <c r="C144" s="3" t="s">
        <v>25</v>
      </c>
      <c r="D144" s="3" t="s">
        <v>768</v>
      </c>
      <c r="E144" s="3" t="s">
        <v>769</v>
      </c>
      <c r="F144" s="3" t="s">
        <v>770</v>
      </c>
      <c r="G144" s="15">
        <v>46133</v>
      </c>
      <c r="H144" s="16">
        <f t="shared" si="4"/>
        <v>206</v>
      </c>
      <c r="I144" s="16" t="str">
        <f t="shared" si="5"/>
        <v>181 à 240 dias</v>
      </c>
      <c r="J144" s="4">
        <v>5</v>
      </c>
      <c r="K144" s="5">
        <v>5500.42</v>
      </c>
      <c r="L144" s="6">
        <v>289.7</v>
      </c>
      <c r="M144" s="5">
        <v>5790.12</v>
      </c>
      <c r="N144" s="8">
        <v>66176.11</v>
      </c>
      <c r="O144" s="8">
        <v>12306.88</v>
      </c>
      <c r="P144" s="3" t="s">
        <v>0</v>
      </c>
      <c r="Q144" s="3" t="s">
        <v>5</v>
      </c>
    </row>
    <row r="145" spans="1:17" x14ac:dyDescent="0.25">
      <c r="A145" s="3" t="s">
        <v>771</v>
      </c>
      <c r="B145" s="3" t="s">
        <v>168</v>
      </c>
      <c r="C145" s="3" t="s">
        <v>25</v>
      </c>
      <c r="D145" s="3" t="s">
        <v>772</v>
      </c>
      <c r="E145" s="3" t="s">
        <v>769</v>
      </c>
      <c r="F145" s="3" t="s">
        <v>57</v>
      </c>
      <c r="G145" s="15">
        <v>46133</v>
      </c>
      <c r="H145" s="16">
        <f t="shared" si="4"/>
        <v>223</v>
      </c>
      <c r="I145" s="16" t="str">
        <f t="shared" si="5"/>
        <v>181 à 240 dias</v>
      </c>
      <c r="J145" s="4">
        <v>6</v>
      </c>
      <c r="K145" s="5">
        <v>6246.04</v>
      </c>
      <c r="L145" s="6">
        <v>357.16</v>
      </c>
      <c r="M145" s="5">
        <v>6603.2</v>
      </c>
      <c r="N145" s="8">
        <v>66880.17</v>
      </c>
      <c r="O145" s="8">
        <v>11569.87</v>
      </c>
      <c r="P145" s="3" t="s">
        <v>0</v>
      </c>
      <c r="Q145" s="3" t="s">
        <v>5</v>
      </c>
    </row>
    <row r="146" spans="1:17" x14ac:dyDescent="0.25">
      <c r="A146" s="3" t="s">
        <v>773</v>
      </c>
      <c r="B146" s="3" t="s">
        <v>168</v>
      </c>
      <c r="C146" s="3" t="s">
        <v>25</v>
      </c>
      <c r="D146" s="3" t="s">
        <v>774</v>
      </c>
      <c r="E146" s="3" t="s">
        <v>769</v>
      </c>
      <c r="F146" s="3" t="s">
        <v>57</v>
      </c>
      <c r="G146" s="15">
        <v>46133</v>
      </c>
      <c r="H146" s="16">
        <f t="shared" si="4"/>
        <v>223</v>
      </c>
      <c r="I146" s="16" t="str">
        <f t="shared" si="5"/>
        <v>181 à 240 dias</v>
      </c>
      <c r="J146" s="4">
        <v>6</v>
      </c>
      <c r="K146" s="5">
        <v>6533.74</v>
      </c>
      <c r="L146" s="6">
        <v>382.79</v>
      </c>
      <c r="M146" s="5">
        <v>6916.53</v>
      </c>
      <c r="N146" s="8">
        <v>64031.040000000001</v>
      </c>
      <c r="O146" s="5">
        <v>9711.73</v>
      </c>
      <c r="P146" s="3" t="s">
        <v>0</v>
      </c>
      <c r="Q146" s="3" t="s">
        <v>5</v>
      </c>
    </row>
    <row r="147" spans="1:17" x14ac:dyDescent="0.25">
      <c r="A147" s="3" t="s">
        <v>775</v>
      </c>
      <c r="B147" s="3" t="s">
        <v>776</v>
      </c>
      <c r="C147" s="3" t="s">
        <v>120</v>
      </c>
      <c r="D147" s="3" t="s">
        <v>777</v>
      </c>
      <c r="E147" s="3" t="s">
        <v>778</v>
      </c>
      <c r="F147" s="3" t="s">
        <v>703</v>
      </c>
      <c r="G147" s="15">
        <v>46133</v>
      </c>
      <c r="H147" s="16">
        <f t="shared" si="4"/>
        <v>234</v>
      </c>
      <c r="I147" s="16" t="str">
        <f t="shared" si="5"/>
        <v>181 à 240 dias</v>
      </c>
      <c r="J147" s="4">
        <v>1</v>
      </c>
      <c r="K147" s="5">
        <v>1121.6600000000001</v>
      </c>
      <c r="L147" s="6">
        <v>109.63</v>
      </c>
      <c r="M147" s="5">
        <v>1231.29</v>
      </c>
      <c r="N147" s="8">
        <v>84925.27</v>
      </c>
      <c r="O147" s="7">
        <v>160814.97</v>
      </c>
      <c r="P147" s="3" t="s">
        <v>0</v>
      </c>
      <c r="Q147" s="3" t="s">
        <v>5</v>
      </c>
    </row>
    <row r="148" spans="1:17" x14ac:dyDescent="0.25">
      <c r="A148" s="3" t="s">
        <v>779</v>
      </c>
      <c r="B148" s="3" t="s">
        <v>780</v>
      </c>
      <c r="C148" s="3" t="s">
        <v>50</v>
      </c>
      <c r="D148" s="3" t="s">
        <v>781</v>
      </c>
      <c r="E148" s="3" t="s">
        <v>782</v>
      </c>
      <c r="F148" s="3" t="s">
        <v>669</v>
      </c>
      <c r="G148" s="15">
        <v>46133</v>
      </c>
      <c r="H148" s="16">
        <f t="shared" si="4"/>
        <v>218</v>
      </c>
      <c r="I148" s="16" t="str">
        <f t="shared" si="5"/>
        <v>181 à 240 dias</v>
      </c>
      <c r="J148" s="4">
        <v>2</v>
      </c>
      <c r="K148" s="5">
        <v>2040.36</v>
      </c>
      <c r="L148" s="6">
        <v>119.25</v>
      </c>
      <c r="M148" s="5">
        <v>2181.9899999999998</v>
      </c>
      <c r="N148" s="8">
        <v>19923.990000000002</v>
      </c>
      <c r="O148" s="7">
        <v>224439.6</v>
      </c>
      <c r="P148" s="3" t="s">
        <v>0</v>
      </c>
      <c r="Q148" s="3" t="s">
        <v>5</v>
      </c>
    </row>
    <row r="149" spans="1:17" x14ac:dyDescent="0.25">
      <c r="A149" s="3" t="s">
        <v>783</v>
      </c>
      <c r="B149" s="3" t="s">
        <v>784</v>
      </c>
      <c r="C149" s="3" t="s">
        <v>128</v>
      </c>
      <c r="D149" s="3" t="s">
        <v>785</v>
      </c>
      <c r="E149" s="3" t="s">
        <v>786</v>
      </c>
      <c r="F149" s="3" t="s">
        <v>787</v>
      </c>
      <c r="G149" s="15">
        <v>46133</v>
      </c>
      <c r="H149" s="16">
        <f t="shared" si="4"/>
        <v>220</v>
      </c>
      <c r="I149" s="16" t="str">
        <f t="shared" si="5"/>
        <v>181 à 240 dias</v>
      </c>
      <c r="J149" s="11">
        <v>11</v>
      </c>
      <c r="K149" s="8">
        <v>23133.61</v>
      </c>
      <c r="L149" s="5">
        <v>1122.72</v>
      </c>
      <c r="M149" s="8">
        <v>24256.33</v>
      </c>
      <c r="N149" s="7">
        <v>122003.19</v>
      </c>
      <c r="O149" s="7">
        <v>324878.49</v>
      </c>
      <c r="P149" s="3" t="s">
        <v>0</v>
      </c>
      <c r="Q149" s="3" t="s">
        <v>5</v>
      </c>
    </row>
    <row r="150" spans="1:17" x14ac:dyDescent="0.25">
      <c r="A150" s="3" t="s">
        <v>788</v>
      </c>
      <c r="B150" s="3" t="s">
        <v>784</v>
      </c>
      <c r="C150" s="3" t="s">
        <v>128</v>
      </c>
      <c r="D150" s="3" t="s">
        <v>789</v>
      </c>
      <c r="E150" s="3" t="s">
        <v>786</v>
      </c>
      <c r="F150" s="3" t="s">
        <v>703</v>
      </c>
      <c r="G150" s="15">
        <v>46133</v>
      </c>
      <c r="H150" s="16">
        <f t="shared" si="4"/>
        <v>234</v>
      </c>
      <c r="I150" s="16" t="str">
        <f t="shared" si="5"/>
        <v>181 à 240 dias</v>
      </c>
      <c r="J150" s="11">
        <v>12</v>
      </c>
      <c r="K150" s="8">
        <v>29116.560000000001</v>
      </c>
      <c r="L150" s="5">
        <v>1345.56</v>
      </c>
      <c r="M150" s="8">
        <v>30462.12</v>
      </c>
      <c r="N150" s="7">
        <v>116016.85</v>
      </c>
      <c r="O150" s="7">
        <v>330861.44</v>
      </c>
      <c r="P150" s="3" t="s">
        <v>0</v>
      </c>
      <c r="Q150" s="3" t="s">
        <v>5</v>
      </c>
    </row>
    <row r="151" spans="1:17" x14ac:dyDescent="0.25">
      <c r="A151" s="3" t="s">
        <v>790</v>
      </c>
      <c r="B151" s="3" t="s">
        <v>791</v>
      </c>
      <c r="C151" s="3" t="s">
        <v>50</v>
      </c>
      <c r="D151" s="3" t="s">
        <v>792</v>
      </c>
      <c r="E151" s="3" t="s">
        <v>793</v>
      </c>
      <c r="F151" s="3" t="s">
        <v>388</v>
      </c>
      <c r="G151" s="15">
        <v>46133</v>
      </c>
      <c r="H151" s="16">
        <f t="shared" si="4"/>
        <v>229</v>
      </c>
      <c r="I151" s="16" t="str">
        <f t="shared" si="5"/>
        <v>181 à 240 dias</v>
      </c>
      <c r="J151" s="4">
        <v>3</v>
      </c>
      <c r="K151" s="5">
        <v>3533.1</v>
      </c>
      <c r="L151" s="6">
        <v>221</v>
      </c>
      <c r="M151" s="5">
        <v>3790.45</v>
      </c>
      <c r="N151" s="8">
        <v>30245.39</v>
      </c>
      <c r="O151" s="7">
        <v>361880.61</v>
      </c>
      <c r="P151" s="3" t="s">
        <v>0</v>
      </c>
      <c r="Q151" s="3" t="s">
        <v>5</v>
      </c>
    </row>
    <row r="152" spans="1:17" x14ac:dyDescent="0.25">
      <c r="A152" s="3" t="s">
        <v>794</v>
      </c>
      <c r="B152" s="3" t="s">
        <v>795</v>
      </c>
      <c r="C152" s="3" t="s">
        <v>120</v>
      </c>
      <c r="D152" s="3" t="s">
        <v>796</v>
      </c>
      <c r="E152" s="3" t="s">
        <v>797</v>
      </c>
      <c r="F152" s="3" t="s">
        <v>57</v>
      </c>
      <c r="G152" s="15">
        <v>46133</v>
      </c>
      <c r="H152" s="16">
        <f t="shared" si="4"/>
        <v>223</v>
      </c>
      <c r="I152" s="16" t="str">
        <f t="shared" si="5"/>
        <v>181 à 240 dias</v>
      </c>
      <c r="J152" s="4">
        <v>8</v>
      </c>
      <c r="K152" s="8">
        <v>17248.03</v>
      </c>
      <c r="L152" s="5">
        <v>1110.03</v>
      </c>
      <c r="M152" s="8">
        <v>18358.060000000001</v>
      </c>
      <c r="N152" s="7">
        <v>113633.45</v>
      </c>
      <c r="O152" s="8">
        <v>90078.75</v>
      </c>
      <c r="P152" s="3" t="s">
        <v>0</v>
      </c>
      <c r="Q152" s="3" t="s">
        <v>5</v>
      </c>
    </row>
    <row r="153" spans="1:17" x14ac:dyDescent="0.25">
      <c r="A153" s="3" t="s">
        <v>771</v>
      </c>
      <c r="B153" s="3" t="s">
        <v>795</v>
      </c>
      <c r="C153" s="3" t="s">
        <v>120</v>
      </c>
      <c r="D153" s="3" t="s">
        <v>798</v>
      </c>
      <c r="E153" s="3" t="s">
        <v>797</v>
      </c>
      <c r="F153" s="3" t="s">
        <v>57</v>
      </c>
      <c r="G153" s="15">
        <v>46133</v>
      </c>
      <c r="H153" s="16">
        <f t="shared" si="4"/>
        <v>223</v>
      </c>
      <c r="I153" s="16" t="str">
        <f t="shared" si="5"/>
        <v>181 à 240 dias</v>
      </c>
      <c r="J153" s="4">
        <v>5</v>
      </c>
      <c r="K153" s="8">
        <v>10802.08</v>
      </c>
      <c r="L153" s="6">
        <v>739.1</v>
      </c>
      <c r="M153" s="8">
        <v>11541.18</v>
      </c>
      <c r="N153" s="7">
        <v>119561.67</v>
      </c>
      <c r="O153" s="8">
        <v>83500.2</v>
      </c>
      <c r="P153" s="3" t="s">
        <v>0</v>
      </c>
      <c r="Q153" s="3" t="s">
        <v>5</v>
      </c>
    </row>
    <row r="154" spans="1:17" x14ac:dyDescent="0.25">
      <c r="A154" s="3" t="s">
        <v>799</v>
      </c>
      <c r="B154" s="3" t="s">
        <v>800</v>
      </c>
      <c r="C154" s="3" t="s">
        <v>120</v>
      </c>
      <c r="D154" s="3" t="s">
        <v>801</v>
      </c>
      <c r="E154" s="3" t="s">
        <v>802</v>
      </c>
      <c r="F154" s="3" t="s">
        <v>756</v>
      </c>
      <c r="G154" s="15">
        <v>46133</v>
      </c>
      <c r="H154" s="16">
        <f t="shared" si="4"/>
        <v>188</v>
      </c>
      <c r="I154" s="16" t="str">
        <f t="shared" si="5"/>
        <v>181 à 240 dias</v>
      </c>
      <c r="J154" s="4">
        <v>5</v>
      </c>
      <c r="K154" s="5">
        <v>8786.5400000000009</v>
      </c>
      <c r="L154" s="6">
        <v>523.27</v>
      </c>
      <c r="M154" s="5">
        <v>9309.81</v>
      </c>
      <c r="N154" s="8">
        <v>86135.19</v>
      </c>
      <c r="O154" s="7">
        <v>203585.55</v>
      </c>
      <c r="P154" s="3" t="s">
        <v>0</v>
      </c>
      <c r="Q154" s="3" t="s">
        <v>5</v>
      </c>
    </row>
    <row r="155" spans="1:17" x14ac:dyDescent="0.25">
      <c r="A155" s="3" t="s">
        <v>803</v>
      </c>
      <c r="B155" s="3" t="s">
        <v>804</v>
      </c>
      <c r="C155" s="3" t="s">
        <v>37</v>
      </c>
      <c r="D155" s="3" t="s">
        <v>805</v>
      </c>
      <c r="E155" s="3" t="s">
        <v>295</v>
      </c>
      <c r="F155" s="3" t="s">
        <v>647</v>
      </c>
      <c r="G155" s="15">
        <v>46133</v>
      </c>
      <c r="H155" s="16">
        <f t="shared" si="4"/>
        <v>239</v>
      </c>
      <c r="I155" s="16" t="str">
        <f t="shared" si="5"/>
        <v>181 à 240 dias</v>
      </c>
      <c r="J155" s="4">
        <v>5</v>
      </c>
      <c r="K155" s="5">
        <v>3598.44</v>
      </c>
      <c r="L155" s="6">
        <v>220.37</v>
      </c>
      <c r="M155" s="5">
        <v>3818.81</v>
      </c>
      <c r="N155" s="8">
        <v>38472.550000000003</v>
      </c>
      <c r="O155" s="8">
        <v>70110.2</v>
      </c>
      <c r="P155" s="3" t="s">
        <v>0</v>
      </c>
      <c r="Q155" s="3" t="s">
        <v>5</v>
      </c>
    </row>
    <row r="156" spans="1:17" x14ac:dyDescent="0.25">
      <c r="A156" s="3" t="s">
        <v>806</v>
      </c>
      <c r="B156" s="3" t="s">
        <v>807</v>
      </c>
      <c r="C156" s="3" t="s">
        <v>25</v>
      </c>
      <c r="D156" s="3" t="s">
        <v>808</v>
      </c>
      <c r="E156" s="3" t="s">
        <v>809</v>
      </c>
      <c r="F156" s="3" t="s">
        <v>346</v>
      </c>
      <c r="G156" s="15">
        <v>46133</v>
      </c>
      <c r="H156" s="16">
        <f t="shared" si="4"/>
        <v>186</v>
      </c>
      <c r="I156" s="16" t="str">
        <f t="shared" si="5"/>
        <v>181 à 240 dias</v>
      </c>
      <c r="J156" s="4">
        <v>6</v>
      </c>
      <c r="K156" s="8">
        <v>12880.88</v>
      </c>
      <c r="L156" s="6">
        <v>842.15</v>
      </c>
      <c r="M156" s="8">
        <v>13723.03</v>
      </c>
      <c r="N156" s="8">
        <v>72420.710000000006</v>
      </c>
      <c r="O156" s="8">
        <v>19725.830000000002</v>
      </c>
      <c r="P156" s="3" t="s">
        <v>0</v>
      </c>
      <c r="Q156" s="3" t="s">
        <v>5</v>
      </c>
    </row>
    <row r="157" spans="1:17" x14ac:dyDescent="0.25">
      <c r="A157" s="3" t="s">
        <v>810</v>
      </c>
      <c r="B157" s="3" t="s">
        <v>811</v>
      </c>
      <c r="C157" s="3" t="s">
        <v>37</v>
      </c>
      <c r="D157" s="3" t="s">
        <v>812</v>
      </c>
      <c r="E157" s="3" t="s">
        <v>813</v>
      </c>
      <c r="F157" s="3" t="s">
        <v>756</v>
      </c>
      <c r="G157" s="15">
        <v>46133</v>
      </c>
      <c r="H157" s="16">
        <f t="shared" si="4"/>
        <v>188</v>
      </c>
      <c r="I157" s="16" t="str">
        <f t="shared" si="5"/>
        <v>181 à 240 dias</v>
      </c>
      <c r="J157" s="4">
        <v>3</v>
      </c>
      <c r="K157" s="6">
        <v>988.35</v>
      </c>
      <c r="L157" s="9">
        <v>59.07</v>
      </c>
      <c r="M157" s="5">
        <v>1047.42</v>
      </c>
      <c r="N157" s="8">
        <v>12038.91</v>
      </c>
      <c r="O157" s="8">
        <v>84683.199999999997</v>
      </c>
      <c r="P157" s="3" t="s">
        <v>0</v>
      </c>
      <c r="Q157" s="3" t="s">
        <v>5</v>
      </c>
    </row>
    <row r="158" spans="1:17" x14ac:dyDescent="0.25">
      <c r="A158" s="3" t="s">
        <v>814</v>
      </c>
      <c r="B158" s="3" t="s">
        <v>815</v>
      </c>
      <c r="C158" s="3" t="s">
        <v>128</v>
      </c>
      <c r="D158" s="3" t="s">
        <v>816</v>
      </c>
      <c r="E158" s="3" t="s">
        <v>817</v>
      </c>
      <c r="F158" s="3" t="s">
        <v>643</v>
      </c>
      <c r="G158" s="15">
        <v>46133</v>
      </c>
      <c r="H158" s="16">
        <f t="shared" si="4"/>
        <v>183</v>
      </c>
      <c r="I158" s="16" t="str">
        <f t="shared" si="5"/>
        <v>181 à 240 dias</v>
      </c>
      <c r="J158" s="4">
        <v>3</v>
      </c>
      <c r="K158" s="5">
        <v>5068.29</v>
      </c>
      <c r="L158" s="6">
        <v>231.41</v>
      </c>
      <c r="M158" s="5">
        <v>5299.7</v>
      </c>
      <c r="N158" s="7">
        <v>132704.19</v>
      </c>
      <c r="O158" s="7">
        <v>168943</v>
      </c>
      <c r="P158" s="3" t="s">
        <v>0</v>
      </c>
      <c r="Q158" s="3" t="s">
        <v>5</v>
      </c>
    </row>
    <row r="159" spans="1:17" x14ac:dyDescent="0.25">
      <c r="A159" s="3" t="s">
        <v>818</v>
      </c>
      <c r="B159" s="3" t="s">
        <v>819</v>
      </c>
      <c r="C159" s="3" t="s">
        <v>94</v>
      </c>
      <c r="D159" s="3" t="s">
        <v>820</v>
      </c>
      <c r="E159" s="3" t="s">
        <v>821</v>
      </c>
      <c r="F159" s="3" t="s">
        <v>647</v>
      </c>
      <c r="G159" s="15">
        <v>46133</v>
      </c>
      <c r="H159" s="16">
        <f t="shared" si="4"/>
        <v>239</v>
      </c>
      <c r="I159" s="16" t="str">
        <f t="shared" si="5"/>
        <v>181 à 240 dias</v>
      </c>
      <c r="J159" s="4">
        <v>3</v>
      </c>
      <c r="K159" s="5">
        <v>2450.04</v>
      </c>
      <c r="L159" s="6">
        <v>214.77</v>
      </c>
      <c r="M159" s="5">
        <v>2664.81</v>
      </c>
      <c r="N159" s="8">
        <v>44413.98</v>
      </c>
      <c r="O159" s="7">
        <v>125383</v>
      </c>
      <c r="P159" s="3" t="s">
        <v>0</v>
      </c>
      <c r="Q159" s="3" t="s">
        <v>5</v>
      </c>
    </row>
    <row r="160" spans="1:17" x14ac:dyDescent="0.25">
      <c r="A160" s="3" t="s">
        <v>822</v>
      </c>
      <c r="B160" s="3" t="s">
        <v>823</v>
      </c>
      <c r="C160" s="3" t="s">
        <v>50</v>
      </c>
      <c r="D160" s="3" t="s">
        <v>824</v>
      </c>
      <c r="E160" s="3" t="s">
        <v>825</v>
      </c>
      <c r="F160" s="3" t="s">
        <v>647</v>
      </c>
      <c r="G160" s="15">
        <v>46133</v>
      </c>
      <c r="H160" s="16">
        <f t="shared" si="4"/>
        <v>239</v>
      </c>
      <c r="I160" s="16" t="str">
        <f t="shared" si="5"/>
        <v>181 à 240 dias</v>
      </c>
      <c r="J160" s="4">
        <v>1</v>
      </c>
      <c r="K160" s="5">
        <v>5353.92</v>
      </c>
      <c r="L160" s="6">
        <v>535.39</v>
      </c>
      <c r="M160" s="5">
        <v>5889.31</v>
      </c>
      <c r="N160" s="7">
        <v>147233.74</v>
      </c>
      <c r="O160" s="5">
        <v>5353.92</v>
      </c>
      <c r="P160" s="3" t="s">
        <v>0</v>
      </c>
      <c r="Q160" s="3" t="s">
        <v>5</v>
      </c>
    </row>
    <row r="161" spans="1:17" x14ac:dyDescent="0.25">
      <c r="A161" s="3" t="s">
        <v>826</v>
      </c>
      <c r="B161" s="3" t="s">
        <v>827</v>
      </c>
      <c r="C161" s="3" t="s">
        <v>31</v>
      </c>
      <c r="D161" s="3" t="s">
        <v>828</v>
      </c>
      <c r="E161" s="3" t="s">
        <v>484</v>
      </c>
      <c r="F161" s="3" t="s">
        <v>368</v>
      </c>
      <c r="G161" s="15">
        <v>46133</v>
      </c>
      <c r="H161" s="16">
        <f t="shared" si="4"/>
        <v>193</v>
      </c>
      <c r="I161" s="16" t="str">
        <f t="shared" si="5"/>
        <v>181 à 240 dias</v>
      </c>
      <c r="J161" s="4">
        <v>1</v>
      </c>
      <c r="K161" s="5">
        <v>8190.67</v>
      </c>
      <c r="L161" s="6">
        <v>690.74</v>
      </c>
      <c r="M161" s="5">
        <v>8881.41</v>
      </c>
      <c r="N161" s="8">
        <v>58972.01</v>
      </c>
      <c r="O161" s="7">
        <v>117560.67</v>
      </c>
      <c r="P161" s="3" t="s">
        <v>0</v>
      </c>
      <c r="Q161" s="3" t="s">
        <v>5</v>
      </c>
    </row>
    <row r="162" spans="1:17" x14ac:dyDescent="0.25">
      <c r="A162" s="3" t="s">
        <v>829</v>
      </c>
      <c r="B162" s="3" t="s">
        <v>830</v>
      </c>
      <c r="C162" s="3" t="s">
        <v>94</v>
      </c>
      <c r="D162" s="3" t="s">
        <v>831</v>
      </c>
      <c r="E162" s="3" t="s">
        <v>832</v>
      </c>
      <c r="F162" s="3" t="s">
        <v>703</v>
      </c>
      <c r="G162" s="15">
        <v>46133</v>
      </c>
      <c r="H162" s="16">
        <f t="shared" si="4"/>
        <v>234</v>
      </c>
      <c r="I162" s="16" t="str">
        <f t="shared" si="5"/>
        <v>181 à 240 dias</v>
      </c>
      <c r="J162" s="4">
        <v>1</v>
      </c>
      <c r="K162" s="6">
        <v>819.45</v>
      </c>
      <c r="L162" s="9">
        <v>80.819999999999993</v>
      </c>
      <c r="M162" s="6">
        <v>900.27</v>
      </c>
      <c r="N162" s="8">
        <v>50138.01</v>
      </c>
      <c r="O162" s="7">
        <v>109886.95</v>
      </c>
      <c r="P162" s="3" t="s">
        <v>0</v>
      </c>
      <c r="Q162" s="3" t="s">
        <v>5</v>
      </c>
    </row>
    <row r="163" spans="1:17" x14ac:dyDescent="0.25">
      <c r="A163" s="3" t="s">
        <v>833</v>
      </c>
      <c r="B163" s="3" t="s">
        <v>834</v>
      </c>
      <c r="C163" s="3" t="s">
        <v>164</v>
      </c>
      <c r="D163" s="3" t="s">
        <v>835</v>
      </c>
      <c r="E163" s="3" t="s">
        <v>836</v>
      </c>
      <c r="F163" s="3" t="s">
        <v>837</v>
      </c>
      <c r="G163" s="15">
        <v>46133</v>
      </c>
      <c r="H163" s="16">
        <f t="shared" si="4"/>
        <v>195</v>
      </c>
      <c r="I163" s="16" t="str">
        <f t="shared" si="5"/>
        <v>181 à 240 dias</v>
      </c>
      <c r="J163" s="4">
        <v>1</v>
      </c>
      <c r="K163" s="6">
        <v>949.61</v>
      </c>
      <c r="L163" s="6">
        <v>101.5</v>
      </c>
      <c r="M163" s="5">
        <v>1051.1099999999999</v>
      </c>
      <c r="N163" s="8">
        <v>11058.38</v>
      </c>
      <c r="O163" s="7">
        <v>185194.06</v>
      </c>
      <c r="P163" s="3" t="s">
        <v>0</v>
      </c>
      <c r="Q163" s="3" t="s">
        <v>5</v>
      </c>
    </row>
    <row r="164" spans="1:17" x14ac:dyDescent="0.25">
      <c r="A164" s="3" t="s">
        <v>838</v>
      </c>
      <c r="B164" s="3" t="s">
        <v>839</v>
      </c>
      <c r="C164" s="3" t="s">
        <v>37</v>
      </c>
      <c r="D164" s="3" t="s">
        <v>840</v>
      </c>
      <c r="E164" s="3" t="s">
        <v>841</v>
      </c>
      <c r="F164" s="3" t="s">
        <v>756</v>
      </c>
      <c r="G164" s="15">
        <v>46133</v>
      </c>
      <c r="H164" s="16">
        <f t="shared" si="4"/>
        <v>188</v>
      </c>
      <c r="I164" s="16" t="str">
        <f t="shared" si="5"/>
        <v>181 à 240 dias</v>
      </c>
      <c r="J164" s="4">
        <v>4</v>
      </c>
      <c r="K164" s="5">
        <v>2711.92</v>
      </c>
      <c r="L164" s="6">
        <v>149.65</v>
      </c>
      <c r="M164" s="5">
        <v>2861.57</v>
      </c>
      <c r="N164" s="5">
        <v>5909.46</v>
      </c>
      <c r="O164" s="7">
        <v>156613.38</v>
      </c>
      <c r="P164" s="3" t="s">
        <v>0</v>
      </c>
      <c r="Q164" s="3" t="s">
        <v>5</v>
      </c>
    </row>
    <row r="165" spans="1:17" x14ac:dyDescent="0.25">
      <c r="A165" s="3" t="s">
        <v>842</v>
      </c>
      <c r="B165" s="3" t="s">
        <v>843</v>
      </c>
      <c r="C165" s="3" t="s">
        <v>50</v>
      </c>
      <c r="D165" s="3" t="s">
        <v>844</v>
      </c>
      <c r="E165" s="3" t="s">
        <v>845</v>
      </c>
      <c r="F165" s="3" t="s">
        <v>368</v>
      </c>
      <c r="G165" s="15">
        <v>46133</v>
      </c>
      <c r="H165" s="16">
        <f t="shared" si="4"/>
        <v>193</v>
      </c>
      <c r="I165" s="16" t="str">
        <f t="shared" si="5"/>
        <v>181 à 240 dias</v>
      </c>
      <c r="J165" s="11">
        <v>10</v>
      </c>
      <c r="K165" s="8">
        <v>11866.48</v>
      </c>
      <c r="L165" s="6">
        <v>678.67</v>
      </c>
      <c r="M165" s="5">
        <v>12640.2</v>
      </c>
      <c r="N165" s="8">
        <v>41206.120000000003</v>
      </c>
      <c r="O165" s="7">
        <v>140997.16</v>
      </c>
      <c r="P165" s="3" t="s">
        <v>0</v>
      </c>
      <c r="Q165" s="3" t="s">
        <v>5</v>
      </c>
    </row>
    <row r="166" spans="1:17" x14ac:dyDescent="0.25">
      <c r="A166" s="3" t="s">
        <v>846</v>
      </c>
      <c r="B166" s="3" t="s">
        <v>847</v>
      </c>
      <c r="C166" s="3" t="s">
        <v>50</v>
      </c>
      <c r="D166" s="3" t="s">
        <v>848</v>
      </c>
      <c r="E166" s="3" t="s">
        <v>849</v>
      </c>
      <c r="F166" s="3" t="s">
        <v>647</v>
      </c>
      <c r="G166" s="15">
        <v>46133</v>
      </c>
      <c r="H166" s="16">
        <f t="shared" si="4"/>
        <v>239</v>
      </c>
      <c r="I166" s="16" t="str">
        <f t="shared" si="5"/>
        <v>181 à 240 dias</v>
      </c>
      <c r="J166" s="4">
        <v>1</v>
      </c>
      <c r="K166" s="5">
        <v>1106.03</v>
      </c>
      <c r="L166" s="6">
        <v>112.15</v>
      </c>
      <c r="M166" s="5">
        <v>1218.18</v>
      </c>
      <c r="N166" s="8">
        <v>27864.18</v>
      </c>
      <c r="O166" s="7">
        <v>250313.31</v>
      </c>
      <c r="P166" s="3" t="s">
        <v>0</v>
      </c>
      <c r="Q166" s="3" t="s">
        <v>5</v>
      </c>
    </row>
    <row r="167" spans="1:17" x14ac:dyDescent="0.25">
      <c r="A167" s="3" t="s">
        <v>850</v>
      </c>
      <c r="B167" s="3" t="s">
        <v>851</v>
      </c>
      <c r="C167" s="3" t="s">
        <v>25</v>
      </c>
      <c r="D167" s="3" t="s">
        <v>852</v>
      </c>
      <c r="E167" s="3" t="s">
        <v>853</v>
      </c>
      <c r="F167" s="3" t="s">
        <v>703</v>
      </c>
      <c r="G167" s="15">
        <v>46133</v>
      </c>
      <c r="H167" s="16">
        <f t="shared" si="4"/>
        <v>234</v>
      </c>
      <c r="I167" s="16" t="str">
        <f t="shared" si="5"/>
        <v>181 à 240 dias</v>
      </c>
      <c r="J167" s="4">
        <v>2</v>
      </c>
      <c r="K167" s="5">
        <v>2134.16</v>
      </c>
      <c r="L167" s="6">
        <v>133.9</v>
      </c>
      <c r="M167" s="5">
        <v>2268.06</v>
      </c>
      <c r="N167" s="8">
        <v>58920.77</v>
      </c>
      <c r="O167" s="8">
        <v>18140.36</v>
      </c>
      <c r="P167" s="3" t="s">
        <v>0</v>
      </c>
      <c r="Q167" s="3" t="s">
        <v>5</v>
      </c>
    </row>
    <row r="168" spans="1:17" x14ac:dyDescent="0.25">
      <c r="A168" s="3" t="s">
        <v>854</v>
      </c>
      <c r="B168" s="3" t="s">
        <v>855</v>
      </c>
      <c r="C168" s="3" t="s">
        <v>37</v>
      </c>
      <c r="D168" s="3" t="s">
        <v>856</v>
      </c>
      <c r="E168" s="3" t="s">
        <v>857</v>
      </c>
      <c r="F168" s="3" t="s">
        <v>678</v>
      </c>
      <c r="G168" s="15">
        <v>46133</v>
      </c>
      <c r="H168" s="16">
        <f t="shared" si="4"/>
        <v>208</v>
      </c>
      <c r="I168" s="16" t="str">
        <f t="shared" si="5"/>
        <v>181 à 240 dias</v>
      </c>
      <c r="J168" s="4">
        <v>2</v>
      </c>
      <c r="K168" s="5">
        <v>1228.8399999999999</v>
      </c>
      <c r="L168" s="9">
        <v>79.400000000000006</v>
      </c>
      <c r="M168" s="5">
        <v>1308.24</v>
      </c>
      <c r="N168" s="5">
        <v>5529.96</v>
      </c>
      <c r="O168" s="7">
        <v>109143.79</v>
      </c>
      <c r="P168" s="3" t="s">
        <v>0</v>
      </c>
      <c r="Q168" s="3" t="s">
        <v>5</v>
      </c>
    </row>
    <row r="169" spans="1:17" x14ac:dyDescent="0.25">
      <c r="A169" s="3" t="s">
        <v>858</v>
      </c>
      <c r="B169" s="3" t="s">
        <v>859</v>
      </c>
      <c r="C169" s="3" t="s">
        <v>128</v>
      </c>
      <c r="D169" s="3" t="s">
        <v>860</v>
      </c>
      <c r="E169" s="3" t="s">
        <v>861</v>
      </c>
      <c r="F169" s="3" t="s">
        <v>647</v>
      </c>
      <c r="G169" s="15">
        <v>46133</v>
      </c>
      <c r="H169" s="16">
        <f t="shared" si="4"/>
        <v>239</v>
      </c>
      <c r="I169" s="16" t="str">
        <f t="shared" si="5"/>
        <v>181 à 240 dias</v>
      </c>
      <c r="J169" s="11">
        <v>13</v>
      </c>
      <c r="K169" s="8">
        <v>13629.1</v>
      </c>
      <c r="L169" s="5">
        <v>1027.58</v>
      </c>
      <c r="M169" s="8">
        <v>14656.68</v>
      </c>
      <c r="N169" s="7">
        <v>119213.94</v>
      </c>
      <c r="O169" s="7">
        <v>201068.12</v>
      </c>
      <c r="P169" s="3" t="s">
        <v>0</v>
      </c>
      <c r="Q169" s="3" t="s">
        <v>5</v>
      </c>
    </row>
    <row r="170" spans="1:17" x14ac:dyDescent="0.25">
      <c r="A170" s="3" t="s">
        <v>862</v>
      </c>
      <c r="B170" s="3" t="s">
        <v>863</v>
      </c>
      <c r="C170" s="3" t="s">
        <v>25</v>
      </c>
      <c r="D170" s="3" t="s">
        <v>864</v>
      </c>
      <c r="E170" s="3" t="s">
        <v>143</v>
      </c>
      <c r="F170" s="3" t="s">
        <v>756</v>
      </c>
      <c r="G170" s="15">
        <v>46133</v>
      </c>
      <c r="H170" s="16">
        <f t="shared" si="4"/>
        <v>188</v>
      </c>
      <c r="I170" s="16" t="str">
        <f t="shared" si="5"/>
        <v>181 à 240 dias</v>
      </c>
      <c r="J170" s="4">
        <v>1</v>
      </c>
      <c r="K170" s="5">
        <v>1010.91</v>
      </c>
      <c r="L170" s="9">
        <v>84.3</v>
      </c>
      <c r="M170" s="5">
        <v>1095.21</v>
      </c>
      <c r="N170" s="8">
        <v>47375.88</v>
      </c>
      <c r="O170" s="8">
        <v>46498.99</v>
      </c>
      <c r="P170" s="3" t="s">
        <v>0</v>
      </c>
      <c r="Q170" s="3" t="s">
        <v>5</v>
      </c>
    </row>
    <row r="171" spans="1:17" x14ac:dyDescent="0.25">
      <c r="A171" s="3" t="s">
        <v>865</v>
      </c>
      <c r="B171" s="3" t="s">
        <v>866</v>
      </c>
      <c r="C171" s="3" t="s">
        <v>37</v>
      </c>
      <c r="D171" s="3" t="s">
        <v>867</v>
      </c>
      <c r="E171" s="3" t="s">
        <v>868</v>
      </c>
      <c r="F171" s="3" t="s">
        <v>678</v>
      </c>
      <c r="G171" s="15">
        <v>46133</v>
      </c>
      <c r="H171" s="16">
        <f t="shared" si="4"/>
        <v>208</v>
      </c>
      <c r="I171" s="16" t="str">
        <f t="shared" si="5"/>
        <v>181 à 240 dias</v>
      </c>
      <c r="J171" s="4">
        <v>6</v>
      </c>
      <c r="K171" s="5">
        <v>3377.28</v>
      </c>
      <c r="L171" s="6">
        <v>205.62</v>
      </c>
      <c r="M171" s="5">
        <v>3582.9</v>
      </c>
      <c r="N171" s="5">
        <v>9737.5</v>
      </c>
      <c r="O171" s="7">
        <v>128091.36</v>
      </c>
      <c r="P171" s="3" t="s">
        <v>0</v>
      </c>
      <c r="Q171" s="3" t="s">
        <v>5</v>
      </c>
    </row>
    <row r="172" spans="1:17" x14ac:dyDescent="0.25">
      <c r="A172" s="3" t="s">
        <v>869</v>
      </c>
      <c r="B172" s="3" t="s">
        <v>870</v>
      </c>
      <c r="C172" s="3" t="s">
        <v>50</v>
      </c>
      <c r="D172" s="3" t="s">
        <v>871</v>
      </c>
      <c r="E172" s="3" t="s">
        <v>872</v>
      </c>
      <c r="F172" s="3" t="s">
        <v>643</v>
      </c>
      <c r="G172" s="15">
        <v>46133</v>
      </c>
      <c r="H172" s="16">
        <f t="shared" si="4"/>
        <v>183</v>
      </c>
      <c r="I172" s="16" t="str">
        <f t="shared" si="5"/>
        <v>181 à 240 dias</v>
      </c>
      <c r="J172" s="4">
        <v>8</v>
      </c>
      <c r="K172" s="5">
        <v>8122.64</v>
      </c>
      <c r="L172" s="6">
        <v>442.08</v>
      </c>
      <c r="M172" s="5">
        <v>8682.15</v>
      </c>
      <c r="N172" s="8">
        <v>15412.32</v>
      </c>
      <c r="O172" s="7">
        <v>228449.25</v>
      </c>
      <c r="P172" s="3" t="s">
        <v>0</v>
      </c>
      <c r="Q172" s="3" t="s">
        <v>5</v>
      </c>
    </row>
    <row r="173" spans="1:17" x14ac:dyDescent="0.25">
      <c r="A173" s="3" t="s">
        <v>873</v>
      </c>
      <c r="B173" s="3" t="s">
        <v>874</v>
      </c>
      <c r="C173" s="3" t="s">
        <v>128</v>
      </c>
      <c r="D173" s="3" t="s">
        <v>875</v>
      </c>
      <c r="E173" s="3" t="s">
        <v>876</v>
      </c>
      <c r="F173" s="3" t="s">
        <v>57</v>
      </c>
      <c r="G173" s="15">
        <v>46133</v>
      </c>
      <c r="H173" s="16">
        <f t="shared" si="4"/>
        <v>223</v>
      </c>
      <c r="I173" s="16" t="str">
        <f t="shared" si="5"/>
        <v>181 à 240 dias</v>
      </c>
      <c r="J173" s="11">
        <v>16</v>
      </c>
      <c r="K173" s="8">
        <v>26377.78</v>
      </c>
      <c r="L173" s="5">
        <v>1467.76</v>
      </c>
      <c r="M173" s="8">
        <v>27845.54</v>
      </c>
      <c r="N173" s="8">
        <v>25091.200000000001</v>
      </c>
      <c r="O173" s="7">
        <v>306091.06</v>
      </c>
      <c r="P173" s="3" t="s">
        <v>0</v>
      </c>
      <c r="Q173" s="3" t="s">
        <v>5</v>
      </c>
    </row>
    <row r="174" spans="1:17" x14ac:dyDescent="0.25">
      <c r="A174" s="3" t="s">
        <v>877</v>
      </c>
      <c r="B174" s="3" t="s">
        <v>878</v>
      </c>
      <c r="C174" s="3" t="s">
        <v>349</v>
      </c>
      <c r="D174" s="3" t="s">
        <v>879</v>
      </c>
      <c r="E174" s="3" t="s">
        <v>880</v>
      </c>
      <c r="F174" s="3" t="s">
        <v>703</v>
      </c>
      <c r="G174" s="15">
        <v>46133</v>
      </c>
      <c r="H174" s="16">
        <f t="shared" si="4"/>
        <v>234</v>
      </c>
      <c r="I174" s="16" t="str">
        <f t="shared" si="5"/>
        <v>181 à 240 dias</v>
      </c>
      <c r="J174" s="4">
        <v>1</v>
      </c>
      <c r="K174" s="6">
        <v>785.54</v>
      </c>
      <c r="L174" s="9">
        <v>77.48</v>
      </c>
      <c r="M174" s="6">
        <v>863.02</v>
      </c>
      <c r="N174" s="8">
        <v>44219.22</v>
      </c>
      <c r="O174" s="7">
        <v>187180.19</v>
      </c>
      <c r="P174" s="3" t="s">
        <v>0</v>
      </c>
      <c r="Q174" s="3" t="s">
        <v>5</v>
      </c>
    </row>
    <row r="175" spans="1:17" x14ac:dyDescent="0.25">
      <c r="A175" s="3" t="s">
        <v>881</v>
      </c>
      <c r="B175" s="3" t="s">
        <v>882</v>
      </c>
      <c r="C175" s="3" t="s">
        <v>883</v>
      </c>
      <c r="D175" s="3" t="s">
        <v>884</v>
      </c>
      <c r="E175" s="3" t="s">
        <v>885</v>
      </c>
      <c r="F175" s="3" t="s">
        <v>886</v>
      </c>
      <c r="G175" s="15">
        <v>46133</v>
      </c>
      <c r="H175" s="16">
        <f t="shared" si="4"/>
        <v>200</v>
      </c>
      <c r="I175" s="16" t="str">
        <f t="shared" si="5"/>
        <v>181 à 240 dias</v>
      </c>
      <c r="J175" s="4">
        <v>2</v>
      </c>
      <c r="K175" s="5">
        <v>9694.01</v>
      </c>
      <c r="L175" s="6">
        <v>723.34</v>
      </c>
      <c r="M175" s="5">
        <v>10463.219999999999</v>
      </c>
      <c r="N175" s="8">
        <v>29544.27</v>
      </c>
      <c r="O175" s="7">
        <v>213893.21</v>
      </c>
      <c r="P175" s="3" t="s">
        <v>0</v>
      </c>
      <c r="Q175" s="3" t="s">
        <v>5</v>
      </c>
    </row>
    <row r="176" spans="1:17" x14ac:dyDescent="0.25">
      <c r="A176" s="3" t="s">
        <v>887</v>
      </c>
      <c r="B176" s="3" t="s">
        <v>888</v>
      </c>
      <c r="C176" s="3" t="s">
        <v>50</v>
      </c>
      <c r="D176" s="3" t="s">
        <v>889</v>
      </c>
      <c r="E176" s="3" t="s">
        <v>890</v>
      </c>
      <c r="F176" s="3" t="s">
        <v>756</v>
      </c>
      <c r="G176" s="15">
        <v>46133</v>
      </c>
      <c r="H176" s="16">
        <f t="shared" si="4"/>
        <v>188</v>
      </c>
      <c r="I176" s="16" t="str">
        <f t="shared" si="5"/>
        <v>181 à 240 dias</v>
      </c>
      <c r="J176" s="4">
        <v>5</v>
      </c>
      <c r="K176" s="5">
        <v>5966.54</v>
      </c>
      <c r="L176" s="6">
        <v>313.26</v>
      </c>
      <c r="M176" s="5">
        <v>6329.67</v>
      </c>
      <c r="N176" s="5">
        <v>6885.63</v>
      </c>
      <c r="O176" s="7">
        <v>278288.76</v>
      </c>
      <c r="P176" s="3" t="s">
        <v>0</v>
      </c>
      <c r="Q176" s="3" t="s">
        <v>5</v>
      </c>
    </row>
    <row r="177" spans="1:17" x14ac:dyDescent="0.25">
      <c r="A177" s="3" t="s">
        <v>891</v>
      </c>
      <c r="B177" s="3" t="s">
        <v>892</v>
      </c>
      <c r="C177" s="3" t="s">
        <v>31</v>
      </c>
      <c r="D177" s="3" t="s">
        <v>893</v>
      </c>
      <c r="E177" s="3" t="s">
        <v>894</v>
      </c>
      <c r="F177" s="3" t="s">
        <v>647</v>
      </c>
      <c r="G177" s="15">
        <v>46133</v>
      </c>
      <c r="H177" s="16">
        <f t="shared" si="4"/>
        <v>239</v>
      </c>
      <c r="I177" s="16" t="str">
        <f t="shared" si="5"/>
        <v>181 à 240 dias</v>
      </c>
      <c r="J177" s="4">
        <v>3</v>
      </c>
      <c r="K177" s="5">
        <v>1500</v>
      </c>
      <c r="L177" s="9">
        <v>83.5</v>
      </c>
      <c r="M177" s="5">
        <v>1583.5</v>
      </c>
      <c r="N177" s="7">
        <v>161128.25</v>
      </c>
      <c r="O177" s="8">
        <v>11750</v>
      </c>
      <c r="P177" s="3" t="s">
        <v>0</v>
      </c>
      <c r="Q177" s="3" t="s">
        <v>5</v>
      </c>
    </row>
    <row r="178" spans="1:17" x14ac:dyDescent="0.25">
      <c r="A178" s="3" t="s">
        <v>895</v>
      </c>
      <c r="B178" s="3" t="s">
        <v>896</v>
      </c>
      <c r="C178" s="3" t="s">
        <v>128</v>
      </c>
      <c r="D178" s="3" t="s">
        <v>897</v>
      </c>
      <c r="E178" s="3" t="s">
        <v>574</v>
      </c>
      <c r="F178" s="3" t="s">
        <v>762</v>
      </c>
      <c r="G178" s="15">
        <v>46133</v>
      </c>
      <c r="H178" s="16">
        <f t="shared" si="4"/>
        <v>233</v>
      </c>
      <c r="I178" s="16" t="str">
        <f t="shared" si="5"/>
        <v>181 à 240 dias</v>
      </c>
      <c r="J178" s="4">
        <v>1</v>
      </c>
      <c r="K178" s="5">
        <v>4118.8500000000004</v>
      </c>
      <c r="L178" s="6">
        <v>401.39</v>
      </c>
      <c r="M178" s="5">
        <v>4520.24</v>
      </c>
      <c r="N178" s="7">
        <v>314293.56</v>
      </c>
      <c r="O178" s="7">
        <v>111208.95</v>
      </c>
      <c r="P178" s="3" t="s">
        <v>0</v>
      </c>
      <c r="Q178" s="3" t="s">
        <v>5</v>
      </c>
    </row>
    <row r="179" spans="1:17" x14ac:dyDescent="0.25">
      <c r="A179" s="3" t="s">
        <v>898</v>
      </c>
      <c r="B179" s="3" t="s">
        <v>899</v>
      </c>
      <c r="C179" s="3" t="s">
        <v>25</v>
      </c>
      <c r="D179" s="3" t="s">
        <v>900</v>
      </c>
      <c r="E179" s="3" t="s">
        <v>901</v>
      </c>
      <c r="F179" s="3" t="s">
        <v>669</v>
      </c>
      <c r="G179" s="15">
        <v>46133</v>
      </c>
      <c r="H179" s="16">
        <f t="shared" si="4"/>
        <v>218</v>
      </c>
      <c r="I179" s="16" t="str">
        <f t="shared" si="5"/>
        <v>181 à 240 dias</v>
      </c>
      <c r="J179" s="4">
        <v>2</v>
      </c>
      <c r="K179" s="5">
        <v>2914.78</v>
      </c>
      <c r="L179" s="6">
        <v>257.63</v>
      </c>
      <c r="M179" s="5">
        <v>3172.41</v>
      </c>
      <c r="N179" s="8">
        <v>79699.13</v>
      </c>
      <c r="O179" s="8">
        <v>16328.56</v>
      </c>
      <c r="P179" s="3" t="s">
        <v>0</v>
      </c>
      <c r="Q179" s="3" t="s">
        <v>5</v>
      </c>
    </row>
    <row r="180" spans="1:17" x14ac:dyDescent="0.25">
      <c r="A180" s="3" t="s">
        <v>902</v>
      </c>
      <c r="B180" s="3" t="s">
        <v>903</v>
      </c>
      <c r="C180" s="3" t="s">
        <v>37</v>
      </c>
      <c r="D180" s="3" t="s">
        <v>904</v>
      </c>
      <c r="E180" s="3" t="s">
        <v>295</v>
      </c>
      <c r="F180" s="3" t="s">
        <v>732</v>
      </c>
      <c r="G180" s="15">
        <v>46133</v>
      </c>
      <c r="H180" s="16">
        <f t="shared" si="4"/>
        <v>213</v>
      </c>
      <c r="I180" s="16" t="str">
        <f t="shared" si="5"/>
        <v>181 à 240 dias</v>
      </c>
      <c r="J180" s="4">
        <v>8</v>
      </c>
      <c r="K180" s="5">
        <v>9053.2999999999993</v>
      </c>
      <c r="L180" s="6">
        <v>495.31</v>
      </c>
      <c r="M180" s="5">
        <v>9548.61</v>
      </c>
      <c r="N180" s="8">
        <v>54322.18</v>
      </c>
      <c r="O180" s="7">
        <v>250809.5</v>
      </c>
      <c r="P180" s="3" t="s">
        <v>0</v>
      </c>
      <c r="Q180" s="3" t="s">
        <v>5</v>
      </c>
    </row>
    <row r="181" spans="1:17" x14ac:dyDescent="0.25">
      <c r="A181" s="3" t="s">
        <v>905</v>
      </c>
      <c r="B181" s="3" t="s">
        <v>906</v>
      </c>
      <c r="C181" s="3" t="s">
        <v>25</v>
      </c>
      <c r="D181" s="3" t="s">
        <v>907</v>
      </c>
      <c r="E181" s="3" t="s">
        <v>908</v>
      </c>
      <c r="F181" s="3" t="s">
        <v>643</v>
      </c>
      <c r="G181" s="15">
        <v>46133</v>
      </c>
      <c r="H181" s="16">
        <f t="shared" si="4"/>
        <v>183</v>
      </c>
      <c r="I181" s="16" t="str">
        <f t="shared" si="5"/>
        <v>181 à 240 dias</v>
      </c>
      <c r="J181" s="4">
        <v>1</v>
      </c>
      <c r="K181" s="6">
        <v>833.53</v>
      </c>
      <c r="L181" s="9">
        <v>68.83</v>
      </c>
      <c r="M181" s="6">
        <v>902.36</v>
      </c>
      <c r="N181" s="8">
        <v>88914.3</v>
      </c>
      <c r="O181" s="8">
        <v>14170.01</v>
      </c>
      <c r="P181" s="3" t="s">
        <v>0</v>
      </c>
      <c r="Q181" s="3" t="s">
        <v>5</v>
      </c>
    </row>
    <row r="182" spans="1:17" x14ac:dyDescent="0.25">
      <c r="A182" s="3" t="s">
        <v>909</v>
      </c>
      <c r="B182" s="3" t="s">
        <v>910</v>
      </c>
      <c r="C182" s="3" t="s">
        <v>349</v>
      </c>
      <c r="D182" s="3" t="s">
        <v>911</v>
      </c>
      <c r="E182" s="3" t="s">
        <v>912</v>
      </c>
      <c r="F182" s="3" t="s">
        <v>647</v>
      </c>
      <c r="G182" s="15">
        <v>46133</v>
      </c>
      <c r="H182" s="16">
        <f t="shared" si="4"/>
        <v>239</v>
      </c>
      <c r="I182" s="16" t="str">
        <f t="shared" si="5"/>
        <v>181 à 240 dias</v>
      </c>
      <c r="J182" s="4">
        <v>4</v>
      </c>
      <c r="K182" s="5">
        <v>5570.96</v>
      </c>
      <c r="L182" s="6">
        <v>371.12</v>
      </c>
      <c r="M182" s="5">
        <v>5942.08</v>
      </c>
      <c r="N182" s="8">
        <v>27482.94</v>
      </c>
      <c r="O182" s="7">
        <v>229802.1</v>
      </c>
      <c r="P182" s="3" t="s">
        <v>0</v>
      </c>
      <c r="Q182" s="3" t="s">
        <v>5</v>
      </c>
    </row>
    <row r="183" spans="1:17" x14ac:dyDescent="0.25">
      <c r="A183" s="3" t="s">
        <v>913</v>
      </c>
      <c r="B183" s="3" t="s">
        <v>914</v>
      </c>
      <c r="C183" s="3" t="s">
        <v>25</v>
      </c>
      <c r="D183" s="3" t="s">
        <v>915</v>
      </c>
      <c r="E183" s="3" t="s">
        <v>916</v>
      </c>
      <c r="F183" s="3" t="s">
        <v>647</v>
      </c>
      <c r="G183" s="15">
        <v>46133</v>
      </c>
      <c r="H183" s="16">
        <f t="shared" si="4"/>
        <v>239</v>
      </c>
      <c r="I183" s="16" t="str">
        <f t="shared" si="5"/>
        <v>181 à 240 dias</v>
      </c>
      <c r="J183" s="4">
        <v>4</v>
      </c>
      <c r="K183" s="5">
        <v>4790.32</v>
      </c>
      <c r="L183" s="6">
        <v>296.16000000000003</v>
      </c>
      <c r="M183" s="5">
        <v>5086.4799999999996</v>
      </c>
      <c r="N183" s="8">
        <v>18547.53</v>
      </c>
      <c r="O183" s="7">
        <v>124548.32</v>
      </c>
      <c r="P183" s="3" t="s">
        <v>0</v>
      </c>
      <c r="Q183" s="3" t="s">
        <v>5</v>
      </c>
    </row>
    <row r="184" spans="1:17" x14ac:dyDescent="0.25">
      <c r="A184" s="3" t="s">
        <v>917</v>
      </c>
      <c r="B184" s="3" t="s">
        <v>918</v>
      </c>
      <c r="C184" s="3" t="s">
        <v>31</v>
      </c>
      <c r="D184" s="3" t="s">
        <v>919</v>
      </c>
      <c r="E184" s="3" t="s">
        <v>920</v>
      </c>
      <c r="F184" s="3" t="s">
        <v>647</v>
      </c>
      <c r="G184" s="15">
        <v>46133</v>
      </c>
      <c r="H184" s="16">
        <f t="shared" si="4"/>
        <v>239</v>
      </c>
      <c r="I184" s="16" t="str">
        <f t="shared" si="5"/>
        <v>181 à 240 dias</v>
      </c>
      <c r="J184" s="4">
        <v>1</v>
      </c>
      <c r="K184" s="5">
        <v>3209.33</v>
      </c>
      <c r="L184" s="6">
        <v>319.87</v>
      </c>
      <c r="M184" s="5">
        <v>3529.2</v>
      </c>
      <c r="N184" s="7">
        <v>117502.28</v>
      </c>
      <c r="O184" s="8">
        <v>67395.929999999993</v>
      </c>
      <c r="P184" s="3" t="s">
        <v>0</v>
      </c>
      <c r="Q184" s="3" t="s">
        <v>5</v>
      </c>
    </row>
    <row r="185" spans="1:17" x14ac:dyDescent="0.25">
      <c r="A185" s="3" t="s">
        <v>921</v>
      </c>
      <c r="B185" s="3" t="s">
        <v>680</v>
      </c>
      <c r="C185" s="3" t="s">
        <v>37</v>
      </c>
      <c r="D185" s="3" t="s">
        <v>922</v>
      </c>
      <c r="E185" s="3" t="s">
        <v>219</v>
      </c>
      <c r="F185" s="3" t="s">
        <v>678</v>
      </c>
      <c r="G185" s="15">
        <v>46133</v>
      </c>
      <c r="H185" s="16">
        <f t="shared" si="4"/>
        <v>208</v>
      </c>
      <c r="I185" s="16" t="str">
        <f t="shared" si="5"/>
        <v>181 à 240 dias</v>
      </c>
      <c r="J185" s="4">
        <v>6</v>
      </c>
      <c r="K185" s="5">
        <v>3774.37</v>
      </c>
      <c r="L185" s="6">
        <v>230.87</v>
      </c>
      <c r="M185" s="5">
        <v>4005.24</v>
      </c>
      <c r="N185" s="6">
        <v>624.32000000000005</v>
      </c>
      <c r="O185" s="7">
        <v>116703.58</v>
      </c>
      <c r="P185" s="3" t="s">
        <v>0</v>
      </c>
      <c r="Q185" s="3" t="s">
        <v>5</v>
      </c>
    </row>
    <row r="186" spans="1:17" x14ac:dyDescent="0.25">
      <c r="A186" s="3" t="s">
        <v>923</v>
      </c>
      <c r="B186" s="3" t="s">
        <v>924</v>
      </c>
      <c r="C186" s="3" t="s">
        <v>128</v>
      </c>
      <c r="D186" s="3" t="s">
        <v>925</v>
      </c>
      <c r="E186" s="3" t="s">
        <v>926</v>
      </c>
      <c r="F186" s="3" t="s">
        <v>473</v>
      </c>
      <c r="G186" s="15">
        <v>46133</v>
      </c>
      <c r="H186" s="16">
        <f t="shared" si="4"/>
        <v>228</v>
      </c>
      <c r="I186" s="16" t="str">
        <f t="shared" si="5"/>
        <v>181 à 240 dias</v>
      </c>
      <c r="J186" s="4">
        <v>2</v>
      </c>
      <c r="K186" s="5">
        <v>5729.24</v>
      </c>
      <c r="L186" s="6">
        <v>440.46</v>
      </c>
      <c r="M186" s="5">
        <v>6169.7</v>
      </c>
      <c r="N186" s="7">
        <v>127679.67999999999</v>
      </c>
      <c r="O186" s="7">
        <v>294749.24</v>
      </c>
      <c r="P186" s="3" t="s">
        <v>0</v>
      </c>
      <c r="Q186" s="3" t="s">
        <v>5</v>
      </c>
    </row>
    <row r="187" spans="1:17" x14ac:dyDescent="0.25">
      <c r="A187" s="3" t="s">
        <v>927</v>
      </c>
      <c r="B187" s="3" t="s">
        <v>928</v>
      </c>
      <c r="C187" s="3" t="s">
        <v>25</v>
      </c>
      <c r="D187" s="3" t="s">
        <v>929</v>
      </c>
      <c r="E187" s="3" t="s">
        <v>524</v>
      </c>
      <c r="F187" s="3" t="s">
        <v>57</v>
      </c>
      <c r="G187" s="15">
        <v>46133</v>
      </c>
      <c r="H187" s="16">
        <f t="shared" si="4"/>
        <v>223</v>
      </c>
      <c r="I187" s="16" t="str">
        <f t="shared" si="5"/>
        <v>181 à 240 dias</v>
      </c>
      <c r="J187" s="4">
        <v>3</v>
      </c>
      <c r="K187" s="5">
        <v>3447.81</v>
      </c>
      <c r="L187" s="6">
        <v>186.97</v>
      </c>
      <c r="M187" s="5">
        <v>3634.78</v>
      </c>
      <c r="N187" s="8">
        <v>47056.639999999999</v>
      </c>
      <c r="O187" s="8">
        <v>58612.77</v>
      </c>
      <c r="P187" s="3" t="s">
        <v>0</v>
      </c>
      <c r="Q187" s="3" t="s">
        <v>5</v>
      </c>
    </row>
    <row r="188" spans="1:17" x14ac:dyDescent="0.25">
      <c r="A188" s="3" t="s">
        <v>930</v>
      </c>
      <c r="B188" s="3" t="s">
        <v>931</v>
      </c>
      <c r="C188" s="3" t="s">
        <v>50</v>
      </c>
      <c r="D188" s="3" t="s">
        <v>932</v>
      </c>
      <c r="E188" s="3" t="s">
        <v>933</v>
      </c>
      <c r="F188" s="3" t="s">
        <v>669</v>
      </c>
      <c r="G188" s="15">
        <v>46133</v>
      </c>
      <c r="H188" s="16">
        <f t="shared" si="4"/>
        <v>218</v>
      </c>
      <c r="I188" s="16" t="str">
        <f t="shared" si="5"/>
        <v>181 à 240 dias</v>
      </c>
      <c r="J188" s="4">
        <v>3</v>
      </c>
      <c r="K188" s="5">
        <v>3851.73</v>
      </c>
      <c r="L188" s="6">
        <v>241.93</v>
      </c>
      <c r="M188" s="5">
        <v>4121.97</v>
      </c>
      <c r="N188" s="8">
        <v>18541.34</v>
      </c>
      <c r="O188" s="7">
        <v>288879.75</v>
      </c>
      <c r="P188" s="3" t="s">
        <v>0</v>
      </c>
      <c r="Q188" s="3" t="s">
        <v>5</v>
      </c>
    </row>
    <row r="189" spans="1:17" x14ac:dyDescent="0.25">
      <c r="A189" s="3" t="s">
        <v>934</v>
      </c>
      <c r="B189" s="3" t="s">
        <v>935</v>
      </c>
      <c r="C189" s="3" t="s">
        <v>25</v>
      </c>
      <c r="D189" s="3" t="s">
        <v>936</v>
      </c>
      <c r="E189" s="3" t="s">
        <v>182</v>
      </c>
      <c r="F189" s="3" t="s">
        <v>368</v>
      </c>
      <c r="G189" s="15">
        <v>46133</v>
      </c>
      <c r="H189" s="16">
        <f t="shared" si="4"/>
        <v>193</v>
      </c>
      <c r="I189" s="16" t="str">
        <f t="shared" si="5"/>
        <v>181 à 240 dias</v>
      </c>
      <c r="J189" s="4">
        <v>4</v>
      </c>
      <c r="K189" s="5">
        <v>4789.75</v>
      </c>
      <c r="L189" s="6">
        <v>331.23</v>
      </c>
      <c r="M189" s="5">
        <v>5120.9799999999996</v>
      </c>
      <c r="N189" s="8">
        <v>45534.01</v>
      </c>
      <c r="O189" s="8">
        <v>42393.35</v>
      </c>
      <c r="P189" s="3" t="s">
        <v>0</v>
      </c>
      <c r="Q189" s="3" t="s">
        <v>5</v>
      </c>
    </row>
    <row r="190" spans="1:17" x14ac:dyDescent="0.25">
      <c r="A190" s="3" t="s">
        <v>937</v>
      </c>
      <c r="B190" s="3" t="s">
        <v>938</v>
      </c>
      <c r="C190" s="3" t="s">
        <v>128</v>
      </c>
      <c r="D190" s="3" t="s">
        <v>939</v>
      </c>
      <c r="E190" s="3" t="s">
        <v>940</v>
      </c>
      <c r="F190" s="3" t="s">
        <v>303</v>
      </c>
      <c r="G190" s="15">
        <v>46133</v>
      </c>
      <c r="H190" s="16">
        <f t="shared" si="4"/>
        <v>232</v>
      </c>
      <c r="I190" s="16" t="str">
        <f t="shared" si="5"/>
        <v>181 à 240 dias</v>
      </c>
      <c r="J190" s="4">
        <v>7</v>
      </c>
      <c r="K190" s="8">
        <v>14478.03</v>
      </c>
      <c r="L190" s="6">
        <v>841.43</v>
      </c>
      <c r="M190" s="8">
        <v>15319.46</v>
      </c>
      <c r="N190" s="7">
        <v>106082.54</v>
      </c>
      <c r="O190" s="7">
        <v>288967.65999999997</v>
      </c>
      <c r="P190" s="3" t="s">
        <v>0</v>
      </c>
      <c r="Q190" s="3" t="s">
        <v>5</v>
      </c>
    </row>
    <row r="191" spans="1:17" x14ac:dyDescent="0.25">
      <c r="A191" s="3" t="s">
        <v>941</v>
      </c>
      <c r="B191" s="3" t="s">
        <v>942</v>
      </c>
      <c r="C191" s="3" t="s">
        <v>25</v>
      </c>
      <c r="D191" s="3" t="s">
        <v>943</v>
      </c>
      <c r="E191" s="3" t="s">
        <v>944</v>
      </c>
      <c r="F191" s="3" t="s">
        <v>756</v>
      </c>
      <c r="G191" s="15">
        <v>46133</v>
      </c>
      <c r="H191" s="16">
        <f t="shared" si="4"/>
        <v>188</v>
      </c>
      <c r="I191" s="16" t="str">
        <f t="shared" si="5"/>
        <v>181 à 240 dias</v>
      </c>
      <c r="J191" s="4">
        <v>4</v>
      </c>
      <c r="K191" s="5">
        <v>6938.76</v>
      </c>
      <c r="L191" s="6">
        <v>390.2</v>
      </c>
      <c r="M191" s="5">
        <v>7328.96</v>
      </c>
      <c r="N191" s="8">
        <v>98520.31</v>
      </c>
      <c r="O191" s="8">
        <v>13877.52</v>
      </c>
      <c r="P191" s="3" t="s">
        <v>0</v>
      </c>
      <c r="Q191" s="3" t="s">
        <v>5</v>
      </c>
    </row>
    <row r="192" spans="1:17" x14ac:dyDescent="0.25">
      <c r="A192" s="3" t="s">
        <v>945</v>
      </c>
      <c r="B192" s="3" t="s">
        <v>946</v>
      </c>
      <c r="C192" s="3" t="s">
        <v>194</v>
      </c>
      <c r="D192" s="3" t="s">
        <v>947</v>
      </c>
      <c r="E192" s="3" t="s">
        <v>139</v>
      </c>
      <c r="F192" s="3" t="s">
        <v>732</v>
      </c>
      <c r="G192" s="15">
        <v>46133</v>
      </c>
      <c r="H192" s="16">
        <f t="shared" si="4"/>
        <v>213</v>
      </c>
      <c r="I192" s="16" t="str">
        <f t="shared" si="5"/>
        <v>181 à 240 dias</v>
      </c>
      <c r="J192" s="4">
        <v>4</v>
      </c>
      <c r="K192" s="8">
        <v>10632.23</v>
      </c>
      <c r="L192" s="6">
        <v>628.69000000000005</v>
      </c>
      <c r="M192" s="8">
        <v>11260.92</v>
      </c>
      <c r="N192" s="7">
        <v>218617.12</v>
      </c>
      <c r="O192" s="7">
        <v>316078.28999999998</v>
      </c>
      <c r="P192" s="3" t="s">
        <v>0</v>
      </c>
      <c r="Q192" s="3" t="s">
        <v>5</v>
      </c>
    </row>
    <row r="193" spans="1:17" x14ac:dyDescent="0.25">
      <c r="A193" s="3" t="s">
        <v>948</v>
      </c>
      <c r="B193" s="3" t="s">
        <v>949</v>
      </c>
      <c r="C193" s="3" t="s">
        <v>50</v>
      </c>
      <c r="D193" s="3" t="s">
        <v>950</v>
      </c>
      <c r="E193" s="3" t="s">
        <v>951</v>
      </c>
      <c r="F193" s="3" t="s">
        <v>647</v>
      </c>
      <c r="G193" s="15">
        <v>46133</v>
      </c>
      <c r="H193" s="16">
        <f t="shared" si="4"/>
        <v>239</v>
      </c>
      <c r="I193" s="16" t="str">
        <f t="shared" si="5"/>
        <v>181 à 240 dias</v>
      </c>
      <c r="J193" s="4">
        <v>6</v>
      </c>
      <c r="K193" s="5">
        <v>6600.6</v>
      </c>
      <c r="L193" s="6">
        <v>381.14</v>
      </c>
      <c r="M193" s="5">
        <v>7085.98</v>
      </c>
      <c r="N193" s="5">
        <v>9542.8799999999992</v>
      </c>
      <c r="O193" s="7">
        <v>256188.6</v>
      </c>
      <c r="P193" s="3" t="s">
        <v>0</v>
      </c>
      <c r="Q193" s="3" t="s">
        <v>5</v>
      </c>
    </row>
    <row r="194" spans="1:17" x14ac:dyDescent="0.25">
      <c r="A194" s="3" t="s">
        <v>952</v>
      </c>
      <c r="B194" s="3" t="s">
        <v>953</v>
      </c>
      <c r="C194" s="3" t="s">
        <v>94</v>
      </c>
      <c r="D194" s="3" t="s">
        <v>954</v>
      </c>
      <c r="E194" s="3" t="s">
        <v>955</v>
      </c>
      <c r="F194" s="3" t="s">
        <v>669</v>
      </c>
      <c r="G194" s="15">
        <v>46133</v>
      </c>
      <c r="H194" s="16">
        <f t="shared" ref="H194:H257" si="6">G194-F194</f>
        <v>218</v>
      </c>
      <c r="I194" s="16" t="str">
        <f t="shared" ref="I194:I257" si="7">+IF(H194&lt;35,"Adimplente",IF(H194&lt;=60,"35 à 60 dias",IF(H194&lt;=90,"61 à 90 dias",IF(H194&lt;=120,"91 à 120 dias",IF(H194&lt;=180,"121 à 180 dias",IF(H194&lt;=240,"181 à 240 dias",IF(H194&lt;=365,"241 à 365 dias","Maior 365 dias")))))))</f>
        <v>181 à 240 dias</v>
      </c>
      <c r="J194" s="4">
        <v>5</v>
      </c>
      <c r="K194" s="5">
        <v>4024.21</v>
      </c>
      <c r="L194" s="6">
        <v>204.13</v>
      </c>
      <c r="M194" s="5">
        <v>4228.34</v>
      </c>
      <c r="N194" s="8">
        <v>39790.65</v>
      </c>
      <c r="O194" s="7">
        <v>109312.02</v>
      </c>
      <c r="P194" s="3" t="s">
        <v>0</v>
      </c>
      <c r="Q194" s="3" t="s">
        <v>5</v>
      </c>
    </row>
    <row r="195" spans="1:17" x14ac:dyDescent="0.25">
      <c r="A195" s="3" t="s">
        <v>956</v>
      </c>
      <c r="B195" s="3" t="s">
        <v>957</v>
      </c>
      <c r="C195" s="3" t="s">
        <v>25</v>
      </c>
      <c r="D195" s="3" t="s">
        <v>958</v>
      </c>
      <c r="E195" s="3" t="s">
        <v>959</v>
      </c>
      <c r="F195" s="3" t="s">
        <v>368</v>
      </c>
      <c r="G195" s="15">
        <v>46133</v>
      </c>
      <c r="H195" s="16">
        <f t="shared" si="6"/>
        <v>193</v>
      </c>
      <c r="I195" s="16" t="str">
        <f t="shared" si="7"/>
        <v>181 à 240 dias</v>
      </c>
      <c r="J195" s="4">
        <v>3</v>
      </c>
      <c r="K195" s="5">
        <v>5593.79</v>
      </c>
      <c r="L195" s="6">
        <v>338.78</v>
      </c>
      <c r="M195" s="5">
        <v>5932.57</v>
      </c>
      <c r="N195" s="7">
        <v>103073.46</v>
      </c>
      <c r="O195" s="8">
        <v>13204.87</v>
      </c>
      <c r="P195" s="3" t="s">
        <v>0</v>
      </c>
      <c r="Q195" s="3" t="s">
        <v>5</v>
      </c>
    </row>
    <row r="196" spans="1:17" x14ac:dyDescent="0.25">
      <c r="A196" s="3" t="s">
        <v>491</v>
      </c>
      <c r="B196" s="3" t="s">
        <v>960</v>
      </c>
      <c r="C196" s="3" t="s">
        <v>37</v>
      </c>
      <c r="D196" s="3" t="s">
        <v>961</v>
      </c>
      <c r="E196" s="3" t="s">
        <v>962</v>
      </c>
      <c r="F196" s="3" t="s">
        <v>678</v>
      </c>
      <c r="G196" s="15">
        <v>46133</v>
      </c>
      <c r="H196" s="16">
        <f t="shared" si="6"/>
        <v>208</v>
      </c>
      <c r="I196" s="16" t="str">
        <f t="shared" si="7"/>
        <v>181 à 240 dias</v>
      </c>
      <c r="J196" s="4">
        <v>5</v>
      </c>
      <c r="K196" s="5">
        <v>3121.6</v>
      </c>
      <c r="L196" s="6">
        <v>179.19</v>
      </c>
      <c r="M196" s="5">
        <v>3300.79</v>
      </c>
      <c r="N196" s="5">
        <v>1872.96</v>
      </c>
      <c r="O196" s="7">
        <v>110504.64</v>
      </c>
      <c r="P196" s="3" t="s">
        <v>0</v>
      </c>
      <c r="Q196" s="3" t="s">
        <v>5</v>
      </c>
    </row>
    <row r="197" spans="1:17" x14ac:dyDescent="0.25">
      <c r="A197" s="3" t="s">
        <v>963</v>
      </c>
      <c r="B197" s="3" t="s">
        <v>964</v>
      </c>
      <c r="C197" s="3" t="s">
        <v>965</v>
      </c>
      <c r="D197" s="3" t="s">
        <v>966</v>
      </c>
      <c r="E197" s="3" t="s">
        <v>967</v>
      </c>
      <c r="F197" s="3" t="s">
        <v>703</v>
      </c>
      <c r="G197" s="15">
        <v>46133</v>
      </c>
      <c r="H197" s="16">
        <f t="shared" si="6"/>
        <v>234</v>
      </c>
      <c r="I197" s="16" t="str">
        <f t="shared" si="7"/>
        <v>181 à 240 dias</v>
      </c>
      <c r="J197" s="4">
        <v>2</v>
      </c>
      <c r="K197" s="8">
        <v>64914.06</v>
      </c>
      <c r="L197" s="5">
        <v>4378.62</v>
      </c>
      <c r="M197" s="8">
        <v>69292.679999999993</v>
      </c>
      <c r="N197" s="12">
        <v>2043806.91</v>
      </c>
      <c r="O197" s="12">
        <v>1265824.17</v>
      </c>
      <c r="P197" s="3" t="s">
        <v>0</v>
      </c>
      <c r="Q197" s="3" t="s">
        <v>5</v>
      </c>
    </row>
    <row r="198" spans="1:17" x14ac:dyDescent="0.25">
      <c r="A198" s="3" t="s">
        <v>968</v>
      </c>
      <c r="B198" s="3" t="s">
        <v>969</v>
      </c>
      <c r="C198" s="3" t="s">
        <v>25</v>
      </c>
      <c r="D198" s="3" t="s">
        <v>970</v>
      </c>
      <c r="E198" s="3" t="s">
        <v>971</v>
      </c>
      <c r="F198" s="3" t="s">
        <v>678</v>
      </c>
      <c r="G198" s="15">
        <v>46133</v>
      </c>
      <c r="H198" s="16">
        <f t="shared" si="6"/>
        <v>208</v>
      </c>
      <c r="I198" s="16" t="str">
        <f t="shared" si="7"/>
        <v>181 à 240 dias</v>
      </c>
      <c r="J198" s="4">
        <v>1</v>
      </c>
      <c r="K198" s="5">
        <v>1397.99</v>
      </c>
      <c r="L198" s="6">
        <v>126.53</v>
      </c>
      <c r="M198" s="5">
        <v>1524.52</v>
      </c>
      <c r="N198" s="8">
        <v>78083.850000000006</v>
      </c>
      <c r="O198" s="8">
        <v>11183.92</v>
      </c>
      <c r="P198" s="3" t="s">
        <v>0</v>
      </c>
      <c r="Q198" s="3" t="s">
        <v>5</v>
      </c>
    </row>
    <row r="199" spans="1:17" x14ac:dyDescent="0.25">
      <c r="A199" s="3" t="s">
        <v>972</v>
      </c>
      <c r="B199" s="3" t="s">
        <v>973</v>
      </c>
      <c r="C199" s="3" t="s">
        <v>128</v>
      </c>
      <c r="D199" s="3" t="s">
        <v>974</v>
      </c>
      <c r="E199" s="3" t="s">
        <v>975</v>
      </c>
      <c r="F199" s="3" t="s">
        <v>732</v>
      </c>
      <c r="G199" s="15">
        <v>46133</v>
      </c>
      <c r="H199" s="16">
        <f t="shared" si="6"/>
        <v>213</v>
      </c>
      <c r="I199" s="16" t="str">
        <f t="shared" si="7"/>
        <v>181 à 240 dias</v>
      </c>
      <c r="J199" s="4">
        <v>2</v>
      </c>
      <c r="K199" s="5">
        <v>3958.27</v>
      </c>
      <c r="L199" s="6">
        <v>217.72</v>
      </c>
      <c r="M199" s="5">
        <v>4175.99</v>
      </c>
      <c r="N199" s="7">
        <v>125745.2</v>
      </c>
      <c r="O199" s="7">
        <v>270143.55</v>
      </c>
      <c r="P199" s="3" t="s">
        <v>0</v>
      </c>
      <c r="Q199" s="3" t="s">
        <v>5</v>
      </c>
    </row>
    <row r="200" spans="1:17" x14ac:dyDescent="0.25">
      <c r="A200" s="3" t="s">
        <v>976</v>
      </c>
      <c r="B200" s="3" t="s">
        <v>977</v>
      </c>
      <c r="C200" s="3" t="s">
        <v>164</v>
      </c>
      <c r="D200" s="3" t="s">
        <v>978</v>
      </c>
      <c r="E200" s="3" t="s">
        <v>979</v>
      </c>
      <c r="F200" s="3" t="s">
        <v>980</v>
      </c>
      <c r="G200" s="15">
        <v>46133</v>
      </c>
      <c r="H200" s="16">
        <f t="shared" si="6"/>
        <v>216</v>
      </c>
      <c r="I200" s="16" t="str">
        <f t="shared" si="7"/>
        <v>181 à 240 dias</v>
      </c>
      <c r="J200" s="4">
        <v>4</v>
      </c>
      <c r="K200" s="5">
        <v>5398.64</v>
      </c>
      <c r="L200" s="6">
        <v>301.38</v>
      </c>
      <c r="M200" s="5">
        <v>5745.55</v>
      </c>
      <c r="N200" s="5">
        <v>4675.76</v>
      </c>
      <c r="O200" s="7">
        <v>179474.75</v>
      </c>
      <c r="P200" s="3" t="s">
        <v>0</v>
      </c>
      <c r="Q200" s="3" t="s">
        <v>5</v>
      </c>
    </row>
    <row r="201" spans="1:17" x14ac:dyDescent="0.25">
      <c r="A201" s="3" t="s">
        <v>981</v>
      </c>
      <c r="B201" s="3" t="s">
        <v>982</v>
      </c>
      <c r="C201" s="3" t="s">
        <v>115</v>
      </c>
      <c r="D201" s="3" t="s">
        <v>983</v>
      </c>
      <c r="E201" s="3" t="s">
        <v>984</v>
      </c>
      <c r="F201" s="3" t="s">
        <v>520</v>
      </c>
      <c r="G201" s="15">
        <v>46133</v>
      </c>
      <c r="H201" s="16">
        <f t="shared" si="6"/>
        <v>203</v>
      </c>
      <c r="I201" s="16" t="str">
        <f t="shared" si="7"/>
        <v>181 à 240 dias</v>
      </c>
      <c r="J201" s="4">
        <v>1</v>
      </c>
      <c r="K201" s="8">
        <v>10732.5</v>
      </c>
      <c r="L201" s="6">
        <v>940.88</v>
      </c>
      <c r="M201" s="8">
        <v>11673.38</v>
      </c>
      <c r="N201" s="7">
        <v>108469.53</v>
      </c>
      <c r="O201" s="7">
        <v>298074.09999999998</v>
      </c>
      <c r="P201" s="3" t="s">
        <v>0</v>
      </c>
      <c r="Q201" s="3" t="s">
        <v>5</v>
      </c>
    </row>
    <row r="202" spans="1:17" x14ac:dyDescent="0.25">
      <c r="A202" s="3" t="s">
        <v>985</v>
      </c>
      <c r="B202" s="3" t="s">
        <v>986</v>
      </c>
      <c r="C202" s="3" t="s">
        <v>94</v>
      </c>
      <c r="D202" s="3" t="s">
        <v>987</v>
      </c>
      <c r="E202" s="3" t="s">
        <v>988</v>
      </c>
      <c r="F202" s="3" t="s">
        <v>678</v>
      </c>
      <c r="G202" s="15">
        <v>46133</v>
      </c>
      <c r="H202" s="16">
        <f t="shared" si="6"/>
        <v>208</v>
      </c>
      <c r="I202" s="16" t="str">
        <f t="shared" si="7"/>
        <v>181 à 240 dias</v>
      </c>
      <c r="J202" s="4">
        <v>2</v>
      </c>
      <c r="K202" s="5">
        <v>1461.48</v>
      </c>
      <c r="L202" s="9">
        <v>87.04</v>
      </c>
      <c r="M202" s="5">
        <v>1548.52</v>
      </c>
      <c r="N202" s="8">
        <v>16311.49</v>
      </c>
      <c r="O202" s="7">
        <v>158570.57999999999</v>
      </c>
      <c r="P202" s="3" t="s">
        <v>0</v>
      </c>
      <c r="Q202" s="3" t="s">
        <v>5</v>
      </c>
    </row>
    <row r="203" spans="1:17" x14ac:dyDescent="0.25">
      <c r="A203" s="3" t="s">
        <v>989</v>
      </c>
      <c r="B203" s="3" t="s">
        <v>990</v>
      </c>
      <c r="C203" s="3" t="s">
        <v>120</v>
      </c>
      <c r="D203" s="3" t="s">
        <v>991</v>
      </c>
      <c r="E203" s="3" t="s">
        <v>992</v>
      </c>
      <c r="F203" s="3" t="s">
        <v>368</v>
      </c>
      <c r="G203" s="15">
        <v>46133</v>
      </c>
      <c r="H203" s="16">
        <f t="shared" si="6"/>
        <v>193</v>
      </c>
      <c r="I203" s="16" t="str">
        <f t="shared" si="7"/>
        <v>181 à 240 dias</v>
      </c>
      <c r="J203" s="4">
        <v>3</v>
      </c>
      <c r="K203" s="5">
        <v>6482.14</v>
      </c>
      <c r="L203" s="6">
        <v>314.31</v>
      </c>
      <c r="M203" s="5">
        <v>6796.45</v>
      </c>
      <c r="N203" s="8">
        <v>95678.51</v>
      </c>
      <c r="O203" s="7">
        <v>214188.26</v>
      </c>
      <c r="P203" s="3" t="s">
        <v>0</v>
      </c>
      <c r="Q203" s="3" t="s">
        <v>5</v>
      </c>
    </row>
    <row r="204" spans="1:17" x14ac:dyDescent="0.25">
      <c r="A204" s="3" t="s">
        <v>993</v>
      </c>
      <c r="B204" s="3" t="s">
        <v>994</v>
      </c>
      <c r="C204" s="3" t="s">
        <v>128</v>
      </c>
      <c r="D204" s="3" t="s">
        <v>995</v>
      </c>
      <c r="E204" s="3" t="s">
        <v>996</v>
      </c>
      <c r="F204" s="3" t="s">
        <v>643</v>
      </c>
      <c r="G204" s="15">
        <v>46133</v>
      </c>
      <c r="H204" s="16">
        <f t="shared" si="6"/>
        <v>183</v>
      </c>
      <c r="I204" s="16" t="str">
        <f t="shared" si="7"/>
        <v>181 à 240 dias</v>
      </c>
      <c r="J204" s="4">
        <v>4</v>
      </c>
      <c r="K204" s="5">
        <v>6882.4</v>
      </c>
      <c r="L204" s="6">
        <v>403.89</v>
      </c>
      <c r="M204" s="5">
        <v>7286.29</v>
      </c>
      <c r="N204" s="7">
        <v>103898.08</v>
      </c>
      <c r="O204" s="7">
        <v>275890.98</v>
      </c>
      <c r="P204" s="3" t="s">
        <v>0</v>
      </c>
      <c r="Q204" s="3" t="s">
        <v>5</v>
      </c>
    </row>
    <row r="205" spans="1:17" x14ac:dyDescent="0.25">
      <c r="A205" s="3" t="s">
        <v>997</v>
      </c>
      <c r="B205" s="3" t="s">
        <v>998</v>
      </c>
      <c r="C205" s="3" t="s">
        <v>37</v>
      </c>
      <c r="D205" s="3" t="s">
        <v>999</v>
      </c>
      <c r="E205" s="3" t="s">
        <v>488</v>
      </c>
      <c r="F205" s="3" t="s">
        <v>647</v>
      </c>
      <c r="G205" s="15">
        <v>46133</v>
      </c>
      <c r="H205" s="16">
        <f t="shared" si="6"/>
        <v>239</v>
      </c>
      <c r="I205" s="16" t="str">
        <f t="shared" si="7"/>
        <v>181 à 240 dias</v>
      </c>
      <c r="J205" s="4">
        <v>3</v>
      </c>
      <c r="K205" s="5">
        <v>1381.8</v>
      </c>
      <c r="L205" s="9">
        <v>86.55</v>
      </c>
      <c r="M205" s="5">
        <v>1468.35</v>
      </c>
      <c r="N205" s="8">
        <v>22199.05</v>
      </c>
      <c r="O205" s="8">
        <v>95320.92</v>
      </c>
      <c r="P205" s="3" t="s">
        <v>0</v>
      </c>
      <c r="Q205" s="3" t="s">
        <v>5</v>
      </c>
    </row>
    <row r="206" spans="1:17" x14ac:dyDescent="0.25">
      <c r="A206" s="3" t="s">
        <v>1000</v>
      </c>
      <c r="B206" s="3" t="s">
        <v>1001</v>
      </c>
      <c r="C206" s="3" t="s">
        <v>759</v>
      </c>
      <c r="D206" s="3" t="s">
        <v>1002</v>
      </c>
      <c r="E206" s="3" t="s">
        <v>1003</v>
      </c>
      <c r="F206" s="3" t="s">
        <v>520</v>
      </c>
      <c r="G206" s="15">
        <v>46133</v>
      </c>
      <c r="H206" s="16">
        <f t="shared" si="6"/>
        <v>203</v>
      </c>
      <c r="I206" s="16" t="str">
        <f t="shared" si="7"/>
        <v>181 à 240 dias</v>
      </c>
      <c r="J206" s="4">
        <v>4</v>
      </c>
      <c r="K206" s="5">
        <v>3186.57</v>
      </c>
      <c r="L206" s="6">
        <v>209.58</v>
      </c>
      <c r="M206" s="5">
        <v>3396.15</v>
      </c>
      <c r="N206" s="8">
        <v>58544.95</v>
      </c>
      <c r="O206" s="7">
        <v>100472.32000000001</v>
      </c>
      <c r="P206" s="3" t="s">
        <v>0</v>
      </c>
      <c r="Q206" s="3" t="s">
        <v>5</v>
      </c>
    </row>
    <row r="207" spans="1:17" x14ac:dyDescent="0.25">
      <c r="A207" s="3" t="s">
        <v>1004</v>
      </c>
      <c r="B207" s="3" t="s">
        <v>1005</v>
      </c>
      <c r="C207" s="3" t="s">
        <v>50</v>
      </c>
      <c r="D207" s="3" t="s">
        <v>1006</v>
      </c>
      <c r="E207" s="3" t="s">
        <v>1007</v>
      </c>
      <c r="F207" s="3" t="s">
        <v>647</v>
      </c>
      <c r="G207" s="15">
        <v>46133</v>
      </c>
      <c r="H207" s="16">
        <f t="shared" si="6"/>
        <v>239</v>
      </c>
      <c r="I207" s="16" t="str">
        <f t="shared" si="7"/>
        <v>181 à 240 dias</v>
      </c>
      <c r="J207" s="4">
        <v>2</v>
      </c>
      <c r="K207" s="5">
        <v>2726.07</v>
      </c>
      <c r="L207" s="6">
        <v>176.42</v>
      </c>
      <c r="M207" s="5">
        <v>2929.06</v>
      </c>
      <c r="N207" s="8">
        <v>34759.15</v>
      </c>
      <c r="O207" s="7">
        <v>215182.55</v>
      </c>
      <c r="P207" s="3" t="s">
        <v>0</v>
      </c>
      <c r="Q207" s="3" t="s">
        <v>5</v>
      </c>
    </row>
    <row r="208" spans="1:17" x14ac:dyDescent="0.25">
      <c r="A208" s="3" t="s">
        <v>1008</v>
      </c>
      <c r="B208" s="3" t="s">
        <v>1009</v>
      </c>
      <c r="C208" s="3" t="s">
        <v>50</v>
      </c>
      <c r="D208" s="3" t="s">
        <v>1010</v>
      </c>
      <c r="E208" s="3" t="s">
        <v>1011</v>
      </c>
      <c r="F208" s="3" t="s">
        <v>647</v>
      </c>
      <c r="G208" s="15">
        <v>46133</v>
      </c>
      <c r="H208" s="16">
        <f t="shared" si="6"/>
        <v>239</v>
      </c>
      <c r="I208" s="16" t="str">
        <f t="shared" si="7"/>
        <v>181 à 240 dias</v>
      </c>
      <c r="J208" s="4">
        <v>2</v>
      </c>
      <c r="K208" s="5">
        <v>2631.62</v>
      </c>
      <c r="L208" s="6">
        <v>186.72</v>
      </c>
      <c r="M208" s="5">
        <v>2818.34</v>
      </c>
      <c r="N208" s="8">
        <v>21055.96</v>
      </c>
      <c r="O208" s="7">
        <v>294741.44</v>
      </c>
      <c r="P208" s="3" t="s">
        <v>0</v>
      </c>
      <c r="Q208" s="3" t="s">
        <v>5</v>
      </c>
    </row>
    <row r="209" spans="1:17" x14ac:dyDescent="0.25">
      <c r="A209" s="3" t="s">
        <v>1012</v>
      </c>
      <c r="B209" s="3" t="s">
        <v>1013</v>
      </c>
      <c r="C209" s="3" t="s">
        <v>31</v>
      </c>
      <c r="D209" s="3" t="s">
        <v>1014</v>
      </c>
      <c r="E209" s="3" t="s">
        <v>1015</v>
      </c>
      <c r="F209" s="3" t="s">
        <v>756</v>
      </c>
      <c r="G209" s="15">
        <v>46133</v>
      </c>
      <c r="H209" s="16">
        <f t="shared" si="6"/>
        <v>188</v>
      </c>
      <c r="I209" s="16" t="str">
        <f t="shared" si="7"/>
        <v>181 à 240 dias</v>
      </c>
      <c r="J209" s="4">
        <v>8</v>
      </c>
      <c r="K209" s="8">
        <v>14623.52</v>
      </c>
      <c r="L209" s="6">
        <v>826.28</v>
      </c>
      <c r="M209" s="8">
        <v>15449.8</v>
      </c>
      <c r="N209" s="8">
        <v>82905.78</v>
      </c>
      <c r="O209" s="7">
        <v>212553.35</v>
      </c>
      <c r="P209" s="3" t="s">
        <v>0</v>
      </c>
      <c r="Q209" s="3" t="s">
        <v>5</v>
      </c>
    </row>
    <row r="210" spans="1:17" x14ac:dyDescent="0.25">
      <c r="A210" s="3" t="s">
        <v>1016</v>
      </c>
      <c r="B210" s="3" t="s">
        <v>1017</v>
      </c>
      <c r="C210" s="3" t="s">
        <v>115</v>
      </c>
      <c r="D210" s="3" t="s">
        <v>1018</v>
      </c>
      <c r="E210" s="3" t="s">
        <v>1019</v>
      </c>
      <c r="F210" s="3" t="s">
        <v>678</v>
      </c>
      <c r="G210" s="15">
        <v>46133</v>
      </c>
      <c r="H210" s="16">
        <f t="shared" si="6"/>
        <v>208</v>
      </c>
      <c r="I210" s="16" t="str">
        <f t="shared" si="7"/>
        <v>181 à 240 dias</v>
      </c>
      <c r="J210" s="4">
        <v>4</v>
      </c>
      <c r="K210" s="8">
        <v>15232.35</v>
      </c>
      <c r="L210" s="5">
        <v>1161.5899999999999</v>
      </c>
      <c r="M210" s="5">
        <v>16406.689999999999</v>
      </c>
      <c r="N210" s="8">
        <v>20519.849999999999</v>
      </c>
      <c r="O210" s="7">
        <v>592033.65</v>
      </c>
      <c r="P210" s="3" t="s">
        <v>0</v>
      </c>
      <c r="Q210" s="3" t="s">
        <v>5</v>
      </c>
    </row>
    <row r="211" spans="1:17" x14ac:dyDescent="0.25">
      <c r="A211" s="3" t="s">
        <v>1020</v>
      </c>
      <c r="B211" s="3" t="s">
        <v>1021</v>
      </c>
      <c r="C211" s="3" t="s">
        <v>128</v>
      </c>
      <c r="D211" s="3" t="s">
        <v>1022</v>
      </c>
      <c r="E211" s="3" t="s">
        <v>1023</v>
      </c>
      <c r="F211" s="3" t="s">
        <v>678</v>
      </c>
      <c r="G211" s="15">
        <v>46133</v>
      </c>
      <c r="H211" s="16">
        <f t="shared" si="6"/>
        <v>208</v>
      </c>
      <c r="I211" s="16" t="str">
        <f t="shared" si="7"/>
        <v>181 à 240 dias</v>
      </c>
      <c r="J211" s="4">
        <v>1</v>
      </c>
      <c r="K211" s="5">
        <v>1966.74</v>
      </c>
      <c r="L211" s="6">
        <v>147.71</v>
      </c>
      <c r="M211" s="5">
        <v>2114.4499999999998</v>
      </c>
      <c r="N211" s="8">
        <v>25275.439999999999</v>
      </c>
      <c r="O211" s="7">
        <v>342212.76</v>
      </c>
      <c r="P211" s="3" t="s">
        <v>0</v>
      </c>
      <c r="Q211" s="3" t="s">
        <v>5</v>
      </c>
    </row>
    <row r="212" spans="1:17" x14ac:dyDescent="0.25">
      <c r="A212" s="3" t="s">
        <v>1024</v>
      </c>
      <c r="B212" s="3" t="s">
        <v>1025</v>
      </c>
      <c r="C212" s="3" t="s">
        <v>349</v>
      </c>
      <c r="D212" s="3" t="s">
        <v>1026</v>
      </c>
      <c r="E212" s="3" t="s">
        <v>1027</v>
      </c>
      <c r="F212" s="3" t="s">
        <v>647</v>
      </c>
      <c r="G212" s="15">
        <v>46133</v>
      </c>
      <c r="H212" s="16">
        <f t="shared" si="6"/>
        <v>239</v>
      </c>
      <c r="I212" s="16" t="str">
        <f t="shared" si="7"/>
        <v>181 à 240 dias</v>
      </c>
      <c r="J212" s="4">
        <v>4</v>
      </c>
      <c r="K212" s="5">
        <v>4178.68</v>
      </c>
      <c r="L212" s="6">
        <v>270.75</v>
      </c>
      <c r="M212" s="5">
        <v>4449.43</v>
      </c>
      <c r="N212" s="8">
        <v>51516.62</v>
      </c>
      <c r="O212" s="7">
        <v>196496.52</v>
      </c>
      <c r="P212" s="3" t="s">
        <v>0</v>
      </c>
      <c r="Q212" s="3" t="s">
        <v>5</v>
      </c>
    </row>
    <row r="213" spans="1:17" x14ac:dyDescent="0.25">
      <c r="A213" s="3" t="s">
        <v>1028</v>
      </c>
      <c r="B213" s="3" t="s">
        <v>1029</v>
      </c>
      <c r="C213" s="3" t="s">
        <v>37</v>
      </c>
      <c r="D213" s="3" t="s">
        <v>1030</v>
      </c>
      <c r="E213" s="3" t="s">
        <v>1031</v>
      </c>
      <c r="F213" s="3" t="s">
        <v>756</v>
      </c>
      <c r="G213" s="15">
        <v>46133</v>
      </c>
      <c r="H213" s="16">
        <f t="shared" si="6"/>
        <v>188</v>
      </c>
      <c r="I213" s="16" t="str">
        <f t="shared" si="7"/>
        <v>181 à 240 dias</v>
      </c>
      <c r="J213" s="4">
        <v>7</v>
      </c>
      <c r="K213" s="5">
        <v>4137.72</v>
      </c>
      <c r="L213" s="6">
        <v>218.19</v>
      </c>
      <c r="M213" s="5">
        <v>4355.91</v>
      </c>
      <c r="N213" s="8">
        <v>15437.75</v>
      </c>
      <c r="O213" s="8">
        <v>93787.56</v>
      </c>
      <c r="P213" s="3" t="s">
        <v>0</v>
      </c>
      <c r="Q213" s="3" t="s">
        <v>5</v>
      </c>
    </row>
    <row r="214" spans="1:17" x14ac:dyDescent="0.25">
      <c r="A214" s="3" t="s">
        <v>1032</v>
      </c>
      <c r="B214" s="3" t="s">
        <v>1033</v>
      </c>
      <c r="C214" s="3" t="s">
        <v>25</v>
      </c>
      <c r="D214" s="3" t="s">
        <v>1034</v>
      </c>
      <c r="E214" s="3" t="s">
        <v>182</v>
      </c>
      <c r="F214" s="3" t="s">
        <v>703</v>
      </c>
      <c r="G214" s="15">
        <v>46133</v>
      </c>
      <c r="H214" s="16">
        <f t="shared" si="6"/>
        <v>234</v>
      </c>
      <c r="I214" s="16" t="str">
        <f t="shared" si="7"/>
        <v>181 à 240 dias</v>
      </c>
      <c r="J214" s="4">
        <v>1</v>
      </c>
      <c r="K214" s="5">
        <v>2589.41</v>
      </c>
      <c r="L214" s="6">
        <v>252.9</v>
      </c>
      <c r="M214" s="5">
        <v>2842.31</v>
      </c>
      <c r="N214" s="8">
        <v>63989.82</v>
      </c>
      <c r="O214" s="8">
        <v>52914.86</v>
      </c>
      <c r="P214" s="3" t="s">
        <v>0</v>
      </c>
      <c r="Q214" s="3" t="s">
        <v>5</v>
      </c>
    </row>
    <row r="215" spans="1:17" x14ac:dyDescent="0.25">
      <c r="A215" s="3" t="s">
        <v>1035</v>
      </c>
      <c r="B215" s="3" t="s">
        <v>1036</v>
      </c>
      <c r="C215" s="3" t="s">
        <v>50</v>
      </c>
      <c r="D215" s="3" t="s">
        <v>1037</v>
      </c>
      <c r="E215" s="3" t="s">
        <v>1038</v>
      </c>
      <c r="F215" s="3" t="s">
        <v>1039</v>
      </c>
      <c r="G215" s="15">
        <v>46133</v>
      </c>
      <c r="H215" s="16">
        <f t="shared" si="6"/>
        <v>190</v>
      </c>
      <c r="I215" s="16" t="str">
        <f t="shared" si="7"/>
        <v>181 à 240 dias</v>
      </c>
      <c r="J215" s="4">
        <v>8</v>
      </c>
      <c r="K215" s="8">
        <v>28145.7</v>
      </c>
      <c r="L215" s="5">
        <v>1676.16</v>
      </c>
      <c r="M215" s="5">
        <v>29908.39</v>
      </c>
      <c r="N215" s="8">
        <v>68964.12</v>
      </c>
      <c r="O215" s="7">
        <v>111885.12</v>
      </c>
      <c r="P215" s="3" t="s">
        <v>0</v>
      </c>
      <c r="Q215" s="3" t="s">
        <v>5</v>
      </c>
    </row>
    <row r="216" spans="1:17" x14ac:dyDescent="0.25">
      <c r="A216" s="3" t="s">
        <v>1040</v>
      </c>
      <c r="B216" s="3" t="s">
        <v>1041</v>
      </c>
      <c r="C216" s="3" t="s">
        <v>37</v>
      </c>
      <c r="D216" s="3" t="s">
        <v>1042</v>
      </c>
      <c r="E216" s="3" t="s">
        <v>1043</v>
      </c>
      <c r="F216" s="3" t="s">
        <v>473</v>
      </c>
      <c r="G216" s="15">
        <v>46133</v>
      </c>
      <c r="H216" s="16">
        <f t="shared" si="6"/>
        <v>228</v>
      </c>
      <c r="I216" s="16" t="str">
        <f t="shared" si="7"/>
        <v>181 à 240 dias</v>
      </c>
      <c r="J216" s="4">
        <v>5</v>
      </c>
      <c r="K216" s="5">
        <v>4033.64</v>
      </c>
      <c r="L216" s="6">
        <v>228.42</v>
      </c>
      <c r="M216" s="5">
        <v>4262.0600000000004</v>
      </c>
      <c r="N216" s="5">
        <v>9378.44</v>
      </c>
      <c r="O216" s="8">
        <v>87560.46</v>
      </c>
      <c r="P216" s="3" t="s">
        <v>0</v>
      </c>
      <c r="Q216" s="3" t="s">
        <v>5</v>
      </c>
    </row>
    <row r="217" spans="1:17" x14ac:dyDescent="0.25">
      <c r="A217" s="3" t="s">
        <v>1044</v>
      </c>
      <c r="B217" s="3" t="s">
        <v>1041</v>
      </c>
      <c r="C217" s="3" t="s">
        <v>37</v>
      </c>
      <c r="D217" s="3" t="s">
        <v>1045</v>
      </c>
      <c r="E217" s="3" t="s">
        <v>1046</v>
      </c>
      <c r="F217" s="3" t="s">
        <v>669</v>
      </c>
      <c r="G217" s="15">
        <v>46133</v>
      </c>
      <c r="H217" s="16">
        <f t="shared" si="6"/>
        <v>218</v>
      </c>
      <c r="I217" s="16" t="str">
        <f t="shared" si="7"/>
        <v>181 à 240 dias</v>
      </c>
      <c r="J217" s="4">
        <v>6</v>
      </c>
      <c r="K217" s="5">
        <v>4123.57</v>
      </c>
      <c r="L217" s="6">
        <v>228.53</v>
      </c>
      <c r="M217" s="5">
        <v>4352.1000000000004</v>
      </c>
      <c r="N217" s="5">
        <v>2701.28</v>
      </c>
      <c r="O217" s="7">
        <v>122824.37</v>
      </c>
      <c r="P217" s="3" t="s">
        <v>0</v>
      </c>
      <c r="Q217" s="3" t="s">
        <v>5</v>
      </c>
    </row>
    <row r="218" spans="1:17" x14ac:dyDescent="0.25">
      <c r="A218" s="3" t="s">
        <v>1047</v>
      </c>
      <c r="B218" s="3" t="s">
        <v>1048</v>
      </c>
      <c r="C218" s="3" t="s">
        <v>37</v>
      </c>
      <c r="D218" s="3" t="s">
        <v>1049</v>
      </c>
      <c r="E218" s="3" t="s">
        <v>1050</v>
      </c>
      <c r="F218" s="3" t="s">
        <v>1051</v>
      </c>
      <c r="G218" s="15">
        <v>46133</v>
      </c>
      <c r="H218" s="16">
        <f t="shared" si="6"/>
        <v>236</v>
      </c>
      <c r="I218" s="16" t="str">
        <f t="shared" si="7"/>
        <v>181 à 240 dias</v>
      </c>
      <c r="J218" s="4">
        <v>6</v>
      </c>
      <c r="K218" s="5">
        <v>3339.45</v>
      </c>
      <c r="L218" s="6">
        <v>190.37</v>
      </c>
      <c r="M218" s="5">
        <v>3529.82</v>
      </c>
      <c r="N218" s="5">
        <v>3845.54</v>
      </c>
      <c r="O218" s="7">
        <v>130736.39</v>
      </c>
      <c r="P218" s="3" t="s">
        <v>0</v>
      </c>
      <c r="Q218" s="3" t="s">
        <v>5</v>
      </c>
    </row>
    <row r="219" spans="1:17" x14ac:dyDescent="0.25">
      <c r="A219" s="3" t="s">
        <v>1052</v>
      </c>
      <c r="B219" s="3" t="s">
        <v>1053</v>
      </c>
      <c r="C219" s="3" t="s">
        <v>128</v>
      </c>
      <c r="D219" s="3" t="s">
        <v>1054</v>
      </c>
      <c r="E219" s="3" t="s">
        <v>901</v>
      </c>
      <c r="F219" s="3" t="s">
        <v>647</v>
      </c>
      <c r="G219" s="15">
        <v>46133</v>
      </c>
      <c r="H219" s="16">
        <f t="shared" si="6"/>
        <v>239</v>
      </c>
      <c r="I219" s="16" t="str">
        <f t="shared" si="7"/>
        <v>181 à 240 dias</v>
      </c>
      <c r="J219" s="11">
        <v>33</v>
      </c>
      <c r="K219" s="8">
        <v>61572.94</v>
      </c>
      <c r="L219" s="5">
        <v>4389.0200000000004</v>
      </c>
      <c r="M219" s="8">
        <v>65961.960000000006</v>
      </c>
      <c r="N219" s="8">
        <v>58942.54</v>
      </c>
      <c r="O219" s="7">
        <v>315475.33</v>
      </c>
      <c r="P219" s="3" t="s">
        <v>0</v>
      </c>
      <c r="Q219" s="3" t="s">
        <v>5</v>
      </c>
    </row>
    <row r="220" spans="1:17" x14ac:dyDescent="0.25">
      <c r="A220" s="3" t="s">
        <v>1055</v>
      </c>
      <c r="B220" s="3" t="s">
        <v>1056</v>
      </c>
      <c r="C220" s="3" t="s">
        <v>25</v>
      </c>
      <c r="D220" s="3" t="s">
        <v>1057</v>
      </c>
      <c r="E220" s="3" t="s">
        <v>1058</v>
      </c>
      <c r="F220" s="3" t="s">
        <v>520</v>
      </c>
      <c r="G220" s="15">
        <v>46133</v>
      </c>
      <c r="H220" s="16">
        <f t="shared" si="6"/>
        <v>203</v>
      </c>
      <c r="I220" s="16" t="str">
        <f t="shared" si="7"/>
        <v>181 à 240 dias</v>
      </c>
      <c r="J220" s="4">
        <v>2</v>
      </c>
      <c r="K220" s="5">
        <v>1331.22</v>
      </c>
      <c r="L220" s="9">
        <v>90.16</v>
      </c>
      <c r="M220" s="5">
        <v>1421.38</v>
      </c>
      <c r="N220" s="8">
        <v>46482.879999999997</v>
      </c>
      <c r="O220" s="8">
        <v>29467.88</v>
      </c>
      <c r="P220" s="3" t="s">
        <v>0</v>
      </c>
      <c r="Q220" s="3" t="s">
        <v>5</v>
      </c>
    </row>
    <row r="221" spans="1:17" x14ac:dyDescent="0.25">
      <c r="A221" s="3" t="s">
        <v>1059</v>
      </c>
      <c r="B221" s="3" t="s">
        <v>1060</v>
      </c>
      <c r="C221" s="3" t="s">
        <v>25</v>
      </c>
      <c r="D221" s="3" t="s">
        <v>1061</v>
      </c>
      <c r="E221" s="3" t="s">
        <v>488</v>
      </c>
      <c r="F221" s="3" t="s">
        <v>520</v>
      </c>
      <c r="G221" s="15">
        <v>46133</v>
      </c>
      <c r="H221" s="16">
        <f t="shared" si="6"/>
        <v>203</v>
      </c>
      <c r="I221" s="16" t="str">
        <f t="shared" si="7"/>
        <v>181 à 240 dias</v>
      </c>
      <c r="J221" s="4">
        <v>2</v>
      </c>
      <c r="K221" s="5">
        <v>1996.44</v>
      </c>
      <c r="L221" s="6">
        <v>116.28</v>
      </c>
      <c r="M221" s="5">
        <v>2112.7199999999998</v>
      </c>
      <c r="N221" s="8">
        <v>45233.27</v>
      </c>
      <c r="O221" s="8">
        <v>46916.34</v>
      </c>
      <c r="P221" s="3" t="s">
        <v>0</v>
      </c>
      <c r="Q221" s="3" t="s">
        <v>5</v>
      </c>
    </row>
    <row r="222" spans="1:17" x14ac:dyDescent="0.25">
      <c r="A222" s="3" t="s">
        <v>1062</v>
      </c>
      <c r="B222" s="3" t="s">
        <v>1063</v>
      </c>
      <c r="C222" s="3" t="s">
        <v>128</v>
      </c>
      <c r="D222" s="3" t="s">
        <v>1064</v>
      </c>
      <c r="E222" s="3" t="s">
        <v>1065</v>
      </c>
      <c r="F222" s="3" t="s">
        <v>368</v>
      </c>
      <c r="G222" s="15">
        <v>46133</v>
      </c>
      <c r="H222" s="16">
        <f t="shared" si="6"/>
        <v>193</v>
      </c>
      <c r="I222" s="16" t="str">
        <f t="shared" si="7"/>
        <v>181 à 240 dias</v>
      </c>
      <c r="J222" s="4">
        <v>1</v>
      </c>
      <c r="K222" s="5">
        <v>2062.81</v>
      </c>
      <c r="L222" s="6">
        <v>174.11</v>
      </c>
      <c r="M222" s="5">
        <v>2236.92</v>
      </c>
      <c r="N222" s="7">
        <v>116635.9</v>
      </c>
      <c r="O222" s="7">
        <v>273762.67</v>
      </c>
      <c r="P222" s="3" t="s">
        <v>0</v>
      </c>
      <c r="Q222" s="3" t="s">
        <v>5</v>
      </c>
    </row>
    <row r="223" spans="1:17" x14ac:dyDescent="0.25">
      <c r="A223" s="3" t="s">
        <v>1066</v>
      </c>
      <c r="B223" s="3" t="s">
        <v>1067</v>
      </c>
      <c r="C223" s="3" t="s">
        <v>1068</v>
      </c>
      <c r="D223" s="3" t="s">
        <v>1069</v>
      </c>
      <c r="E223" s="3" t="s">
        <v>1070</v>
      </c>
      <c r="F223" s="3" t="s">
        <v>212</v>
      </c>
      <c r="G223" s="15">
        <v>46133</v>
      </c>
      <c r="H223" s="16">
        <f t="shared" si="6"/>
        <v>187</v>
      </c>
      <c r="I223" s="16" t="str">
        <f t="shared" si="7"/>
        <v>181 à 240 dias</v>
      </c>
      <c r="J223" s="4">
        <v>3</v>
      </c>
      <c r="K223" s="8">
        <v>11404.65</v>
      </c>
      <c r="L223" s="6">
        <v>508.06</v>
      </c>
      <c r="M223" s="8">
        <v>11912.71</v>
      </c>
      <c r="N223" s="7">
        <v>258498.92</v>
      </c>
      <c r="O223" s="7">
        <v>296520.90000000002</v>
      </c>
      <c r="P223" s="3" t="s">
        <v>0</v>
      </c>
      <c r="Q223" s="3" t="s">
        <v>5</v>
      </c>
    </row>
    <row r="224" spans="1:17" x14ac:dyDescent="0.25">
      <c r="A224" s="3" t="s">
        <v>1071</v>
      </c>
      <c r="B224" s="3" t="s">
        <v>1072</v>
      </c>
      <c r="C224" s="3" t="s">
        <v>25</v>
      </c>
      <c r="D224" s="3" t="s">
        <v>1073</v>
      </c>
      <c r="E224" s="3" t="s">
        <v>1074</v>
      </c>
      <c r="F224" s="3" t="s">
        <v>647</v>
      </c>
      <c r="G224" s="15">
        <v>46133</v>
      </c>
      <c r="H224" s="16">
        <f t="shared" si="6"/>
        <v>239</v>
      </c>
      <c r="I224" s="16" t="str">
        <f t="shared" si="7"/>
        <v>181 à 240 dias</v>
      </c>
      <c r="J224" s="11">
        <v>17</v>
      </c>
      <c r="K224" s="8">
        <v>19086.39</v>
      </c>
      <c r="L224" s="5">
        <v>1329.4</v>
      </c>
      <c r="M224" s="8">
        <v>20415.79</v>
      </c>
      <c r="N224" s="7">
        <v>114225.83</v>
      </c>
      <c r="O224" s="8">
        <v>64488.34</v>
      </c>
      <c r="P224" s="3" t="s">
        <v>0</v>
      </c>
      <c r="Q224" s="3" t="s">
        <v>5</v>
      </c>
    </row>
    <row r="225" spans="1:17" x14ac:dyDescent="0.25">
      <c r="A225" s="3" t="s">
        <v>1075</v>
      </c>
      <c r="B225" s="3" t="s">
        <v>1076</v>
      </c>
      <c r="C225" s="3" t="s">
        <v>25</v>
      </c>
      <c r="D225" s="3" t="s">
        <v>1077</v>
      </c>
      <c r="E225" s="3" t="s">
        <v>797</v>
      </c>
      <c r="F225" s="3" t="s">
        <v>368</v>
      </c>
      <c r="G225" s="15">
        <v>46133</v>
      </c>
      <c r="H225" s="16">
        <f t="shared" si="6"/>
        <v>193</v>
      </c>
      <c r="I225" s="16" t="str">
        <f t="shared" si="7"/>
        <v>181 à 240 dias</v>
      </c>
      <c r="J225" s="4">
        <v>1</v>
      </c>
      <c r="K225" s="5">
        <v>2181.36</v>
      </c>
      <c r="L225" s="6">
        <v>187.22</v>
      </c>
      <c r="M225" s="5">
        <v>2368.58</v>
      </c>
      <c r="N225" s="7">
        <v>124496.56</v>
      </c>
      <c r="O225" s="8">
        <v>16089.72</v>
      </c>
      <c r="P225" s="3" t="s">
        <v>0</v>
      </c>
      <c r="Q225" s="3" t="s">
        <v>5</v>
      </c>
    </row>
    <row r="226" spans="1:17" x14ac:dyDescent="0.25">
      <c r="A226" s="3" t="s">
        <v>1078</v>
      </c>
      <c r="B226" s="3" t="s">
        <v>1079</v>
      </c>
      <c r="C226" s="3" t="s">
        <v>50</v>
      </c>
      <c r="D226" s="3" t="s">
        <v>1080</v>
      </c>
      <c r="E226" s="3" t="s">
        <v>1081</v>
      </c>
      <c r="F226" s="3" t="s">
        <v>678</v>
      </c>
      <c r="G226" s="15">
        <v>46133</v>
      </c>
      <c r="H226" s="16">
        <f t="shared" si="6"/>
        <v>208</v>
      </c>
      <c r="I226" s="16" t="str">
        <f t="shared" si="7"/>
        <v>181 à 240 dias</v>
      </c>
      <c r="J226" s="4">
        <v>3</v>
      </c>
      <c r="K226" s="5">
        <v>3793.99</v>
      </c>
      <c r="L226" s="6">
        <v>213.82</v>
      </c>
      <c r="M226" s="5">
        <v>4063.44</v>
      </c>
      <c r="N226" s="8">
        <v>24958.51</v>
      </c>
      <c r="O226" s="7">
        <v>277530.81</v>
      </c>
      <c r="P226" s="3" t="s">
        <v>0</v>
      </c>
      <c r="Q226" s="3" t="s">
        <v>5</v>
      </c>
    </row>
    <row r="227" spans="1:17" x14ac:dyDescent="0.25">
      <c r="A227" s="3" t="s">
        <v>1082</v>
      </c>
      <c r="B227" s="3" t="s">
        <v>1083</v>
      </c>
      <c r="C227" s="3" t="s">
        <v>50</v>
      </c>
      <c r="D227" s="3" t="s">
        <v>1084</v>
      </c>
      <c r="E227" s="3" t="s">
        <v>656</v>
      </c>
      <c r="F227" s="3" t="s">
        <v>368</v>
      </c>
      <c r="G227" s="15">
        <v>46133</v>
      </c>
      <c r="H227" s="16">
        <f t="shared" si="6"/>
        <v>193</v>
      </c>
      <c r="I227" s="16" t="str">
        <f t="shared" si="7"/>
        <v>181 à 240 dias</v>
      </c>
      <c r="J227" s="4">
        <v>7</v>
      </c>
      <c r="K227" s="8">
        <v>11426.68</v>
      </c>
      <c r="L227" s="6">
        <v>621.9</v>
      </c>
      <c r="M227" s="5">
        <v>12210.06</v>
      </c>
      <c r="N227" s="5">
        <v>6409.24</v>
      </c>
      <c r="O227" s="7">
        <v>233866.52</v>
      </c>
      <c r="P227" s="3" t="s">
        <v>0</v>
      </c>
      <c r="Q227" s="3" t="s">
        <v>5</v>
      </c>
    </row>
    <row r="228" spans="1:17" x14ac:dyDescent="0.25">
      <c r="A228" s="3" t="s">
        <v>1085</v>
      </c>
      <c r="B228" s="3" t="s">
        <v>1086</v>
      </c>
      <c r="C228" s="3" t="s">
        <v>120</v>
      </c>
      <c r="D228" s="3" t="s">
        <v>1087</v>
      </c>
      <c r="E228" s="3" t="s">
        <v>1088</v>
      </c>
      <c r="F228" s="3" t="s">
        <v>346</v>
      </c>
      <c r="G228" s="15">
        <v>46133</v>
      </c>
      <c r="H228" s="16">
        <f t="shared" si="6"/>
        <v>186</v>
      </c>
      <c r="I228" s="16" t="str">
        <f t="shared" si="7"/>
        <v>181 à 240 dias</v>
      </c>
      <c r="J228" s="4">
        <v>2</v>
      </c>
      <c r="K228" s="7">
        <v>200312.87</v>
      </c>
      <c r="L228" s="8">
        <v>16492.419999999998</v>
      </c>
      <c r="M228" s="7">
        <v>216805.29</v>
      </c>
      <c r="N228" s="8">
        <v>77102.039999999994</v>
      </c>
      <c r="O228" s="7">
        <v>200312.87</v>
      </c>
      <c r="P228" s="3" t="s">
        <v>0</v>
      </c>
      <c r="Q228" s="3" t="s">
        <v>5</v>
      </c>
    </row>
    <row r="229" spans="1:17" x14ac:dyDescent="0.25">
      <c r="A229" s="3" t="s">
        <v>1089</v>
      </c>
      <c r="B229" s="3" t="s">
        <v>1090</v>
      </c>
      <c r="C229" s="3" t="s">
        <v>25</v>
      </c>
      <c r="D229" s="3" t="s">
        <v>1091</v>
      </c>
      <c r="E229" s="3" t="s">
        <v>1092</v>
      </c>
      <c r="F229" s="3" t="s">
        <v>703</v>
      </c>
      <c r="G229" s="15">
        <v>46133</v>
      </c>
      <c r="H229" s="16">
        <f t="shared" si="6"/>
        <v>234</v>
      </c>
      <c r="I229" s="16" t="str">
        <f t="shared" si="7"/>
        <v>181 à 240 dias</v>
      </c>
      <c r="J229" s="4">
        <v>2</v>
      </c>
      <c r="K229" s="5">
        <v>2141.6799999999998</v>
      </c>
      <c r="L229" s="6">
        <v>188.26</v>
      </c>
      <c r="M229" s="5">
        <v>2329.94</v>
      </c>
      <c r="N229" s="8">
        <v>73787.86</v>
      </c>
      <c r="O229" s="8">
        <v>43904.44</v>
      </c>
      <c r="P229" s="3" t="s">
        <v>0</v>
      </c>
      <c r="Q229" s="3" t="s">
        <v>5</v>
      </c>
    </row>
    <row r="230" spans="1:17" x14ac:dyDescent="0.25">
      <c r="A230" s="3" t="s">
        <v>1093</v>
      </c>
      <c r="B230" s="3" t="s">
        <v>1094</v>
      </c>
      <c r="C230" s="3" t="s">
        <v>25</v>
      </c>
      <c r="D230" s="3" t="s">
        <v>1095</v>
      </c>
      <c r="E230" s="3" t="s">
        <v>1096</v>
      </c>
      <c r="F230" s="3" t="s">
        <v>703</v>
      </c>
      <c r="G230" s="15">
        <v>46133</v>
      </c>
      <c r="H230" s="16">
        <f t="shared" si="6"/>
        <v>234</v>
      </c>
      <c r="I230" s="16" t="str">
        <f t="shared" si="7"/>
        <v>181 à 240 dias</v>
      </c>
      <c r="J230" s="4">
        <v>1</v>
      </c>
      <c r="K230" s="5">
        <v>1484.13</v>
      </c>
      <c r="L230" s="6">
        <v>145.06</v>
      </c>
      <c r="M230" s="5">
        <v>1629.19</v>
      </c>
      <c r="N230" s="8">
        <v>85296.94</v>
      </c>
      <c r="O230" s="5">
        <v>5936.52</v>
      </c>
      <c r="P230" s="3" t="s">
        <v>0</v>
      </c>
      <c r="Q230" s="3" t="s">
        <v>5</v>
      </c>
    </row>
    <row r="231" spans="1:17" x14ac:dyDescent="0.25">
      <c r="A231" s="3" t="s">
        <v>1097</v>
      </c>
      <c r="B231" s="3" t="s">
        <v>1098</v>
      </c>
      <c r="C231" s="3" t="s">
        <v>50</v>
      </c>
      <c r="D231" s="3" t="s">
        <v>1099</v>
      </c>
      <c r="E231" s="3" t="s">
        <v>1100</v>
      </c>
      <c r="F231" s="3" t="s">
        <v>678</v>
      </c>
      <c r="G231" s="15">
        <v>46133</v>
      </c>
      <c r="H231" s="16">
        <f t="shared" si="6"/>
        <v>208</v>
      </c>
      <c r="I231" s="16" t="str">
        <f t="shared" si="7"/>
        <v>181 à 240 dias</v>
      </c>
      <c r="J231" s="4">
        <v>1</v>
      </c>
      <c r="K231" s="5">
        <v>1568.97</v>
      </c>
      <c r="L231" s="6">
        <v>141.91</v>
      </c>
      <c r="M231" s="5">
        <v>1710.88</v>
      </c>
      <c r="N231" s="8">
        <v>47885.440000000002</v>
      </c>
      <c r="O231" s="7">
        <v>232207.56</v>
      </c>
      <c r="P231" s="3" t="s">
        <v>0</v>
      </c>
      <c r="Q231" s="3" t="s">
        <v>5</v>
      </c>
    </row>
    <row r="232" spans="1:17" x14ac:dyDescent="0.25">
      <c r="A232" s="3" t="s">
        <v>1101</v>
      </c>
      <c r="B232" s="3" t="s">
        <v>437</v>
      </c>
      <c r="C232" s="3" t="s">
        <v>115</v>
      </c>
      <c r="D232" s="3" t="s">
        <v>1102</v>
      </c>
      <c r="E232" s="3" t="s">
        <v>1103</v>
      </c>
      <c r="F232" s="3" t="s">
        <v>647</v>
      </c>
      <c r="G232" s="15">
        <v>46133</v>
      </c>
      <c r="H232" s="16">
        <f t="shared" si="6"/>
        <v>239</v>
      </c>
      <c r="I232" s="16" t="str">
        <f t="shared" si="7"/>
        <v>181 à 240 dias</v>
      </c>
      <c r="J232" s="4">
        <v>7</v>
      </c>
      <c r="K232" s="8">
        <v>56161.98</v>
      </c>
      <c r="L232" s="5">
        <v>4286.42</v>
      </c>
      <c r="M232" s="8">
        <v>60448.4</v>
      </c>
      <c r="N232" s="7">
        <v>131608.09</v>
      </c>
      <c r="O232" s="7">
        <v>153870.38</v>
      </c>
      <c r="P232" s="3" t="s">
        <v>0</v>
      </c>
      <c r="Q232" s="3" t="s">
        <v>5</v>
      </c>
    </row>
    <row r="233" spans="1:17" x14ac:dyDescent="0.25">
      <c r="A233" s="3" t="s">
        <v>1104</v>
      </c>
      <c r="B233" s="3" t="s">
        <v>1105</v>
      </c>
      <c r="C233" s="3" t="s">
        <v>50</v>
      </c>
      <c r="D233" s="3" t="s">
        <v>1106</v>
      </c>
      <c r="E233" s="3" t="s">
        <v>1107</v>
      </c>
      <c r="F233" s="3" t="s">
        <v>732</v>
      </c>
      <c r="G233" s="15">
        <v>46133</v>
      </c>
      <c r="H233" s="16">
        <f t="shared" si="6"/>
        <v>213</v>
      </c>
      <c r="I233" s="16" t="str">
        <f t="shared" si="7"/>
        <v>181 à 240 dias</v>
      </c>
      <c r="J233" s="4">
        <v>1</v>
      </c>
      <c r="K233" s="5">
        <v>3137.34</v>
      </c>
      <c r="L233" s="6">
        <v>285.95999999999998</v>
      </c>
      <c r="M233" s="5">
        <v>3423.3</v>
      </c>
      <c r="N233" s="8">
        <v>92486.58</v>
      </c>
      <c r="O233" s="8">
        <v>53334.78</v>
      </c>
      <c r="P233" s="3" t="s">
        <v>0</v>
      </c>
      <c r="Q233" s="3" t="s">
        <v>5</v>
      </c>
    </row>
    <row r="234" spans="1:17" x14ac:dyDescent="0.25">
      <c r="A234" s="3" t="s">
        <v>1108</v>
      </c>
      <c r="B234" s="3" t="s">
        <v>1105</v>
      </c>
      <c r="C234" s="3" t="s">
        <v>50</v>
      </c>
      <c r="D234" s="3" t="s">
        <v>1109</v>
      </c>
      <c r="E234" s="3" t="s">
        <v>1107</v>
      </c>
      <c r="F234" s="3" t="s">
        <v>732</v>
      </c>
      <c r="G234" s="15">
        <v>46133</v>
      </c>
      <c r="H234" s="16">
        <f t="shared" si="6"/>
        <v>213</v>
      </c>
      <c r="I234" s="16" t="str">
        <f t="shared" si="7"/>
        <v>181 à 240 dias</v>
      </c>
      <c r="J234" s="4">
        <v>1</v>
      </c>
      <c r="K234" s="5">
        <v>3124.67</v>
      </c>
      <c r="L234" s="6">
        <v>284.8</v>
      </c>
      <c r="M234" s="5">
        <v>3409.47</v>
      </c>
      <c r="N234" s="8">
        <v>92118.43</v>
      </c>
      <c r="O234" s="8">
        <v>53119.39</v>
      </c>
      <c r="P234" s="3" t="s">
        <v>0</v>
      </c>
      <c r="Q234" s="3" t="s">
        <v>5</v>
      </c>
    </row>
    <row r="235" spans="1:17" x14ac:dyDescent="0.25">
      <c r="A235" s="3" t="s">
        <v>1110</v>
      </c>
      <c r="B235" s="3" t="s">
        <v>1111</v>
      </c>
      <c r="C235" s="3" t="s">
        <v>25</v>
      </c>
      <c r="D235" s="3" t="s">
        <v>1112</v>
      </c>
      <c r="E235" s="3" t="s">
        <v>247</v>
      </c>
      <c r="F235" s="3" t="s">
        <v>368</v>
      </c>
      <c r="G235" s="15">
        <v>46133</v>
      </c>
      <c r="H235" s="16">
        <f t="shared" si="6"/>
        <v>193</v>
      </c>
      <c r="I235" s="16" t="str">
        <f t="shared" si="7"/>
        <v>181 à 240 dias</v>
      </c>
      <c r="J235" s="4">
        <v>1</v>
      </c>
      <c r="K235" s="5">
        <v>1673.72</v>
      </c>
      <c r="L235" s="6">
        <v>142.26</v>
      </c>
      <c r="M235" s="5">
        <v>1815.98</v>
      </c>
      <c r="N235" s="8">
        <v>93834.82</v>
      </c>
      <c r="O235" s="8">
        <v>18410.919999999998</v>
      </c>
      <c r="P235" s="3" t="s">
        <v>0</v>
      </c>
      <c r="Q235" s="3" t="s">
        <v>5</v>
      </c>
    </row>
    <row r="236" spans="1:17" x14ac:dyDescent="0.25">
      <c r="A236" s="3" t="s">
        <v>1113</v>
      </c>
      <c r="B236" s="3" t="s">
        <v>1114</v>
      </c>
      <c r="C236" s="3" t="s">
        <v>120</v>
      </c>
      <c r="D236" s="3" t="s">
        <v>1115</v>
      </c>
      <c r="E236" s="3" t="s">
        <v>1116</v>
      </c>
      <c r="F236" s="3" t="s">
        <v>703</v>
      </c>
      <c r="G236" s="15">
        <v>46133</v>
      </c>
      <c r="H236" s="16">
        <f t="shared" si="6"/>
        <v>234</v>
      </c>
      <c r="I236" s="16" t="str">
        <f t="shared" si="7"/>
        <v>181 à 240 dias</v>
      </c>
      <c r="J236" s="4">
        <v>5</v>
      </c>
      <c r="K236" s="5">
        <v>5864.1</v>
      </c>
      <c r="L236" s="6">
        <v>397.22</v>
      </c>
      <c r="M236" s="5">
        <v>6261.32</v>
      </c>
      <c r="N236" s="8">
        <v>84031.34</v>
      </c>
      <c r="O236" s="7">
        <v>177485.6</v>
      </c>
      <c r="P236" s="3" t="s">
        <v>0</v>
      </c>
      <c r="Q236" s="3" t="s">
        <v>5</v>
      </c>
    </row>
    <row r="237" spans="1:17" x14ac:dyDescent="0.25">
      <c r="A237" s="3" t="s">
        <v>1117</v>
      </c>
      <c r="B237" s="3" t="s">
        <v>1118</v>
      </c>
      <c r="C237" s="3" t="s">
        <v>120</v>
      </c>
      <c r="D237" s="3" t="s">
        <v>1119</v>
      </c>
      <c r="E237" s="3" t="s">
        <v>1120</v>
      </c>
      <c r="F237" s="3" t="s">
        <v>1051</v>
      </c>
      <c r="G237" s="15">
        <v>46133</v>
      </c>
      <c r="H237" s="16">
        <f t="shared" si="6"/>
        <v>236</v>
      </c>
      <c r="I237" s="16" t="str">
        <f t="shared" si="7"/>
        <v>181 à 240 dias</v>
      </c>
      <c r="J237" s="11">
        <v>17</v>
      </c>
      <c r="K237" s="8">
        <v>25513.16</v>
      </c>
      <c r="L237" s="5">
        <v>1792.24</v>
      </c>
      <c r="M237" s="8">
        <v>27305.4</v>
      </c>
      <c r="N237" s="8">
        <v>59160.81</v>
      </c>
      <c r="O237" s="7">
        <v>245264.92</v>
      </c>
      <c r="P237" s="3" t="s">
        <v>0</v>
      </c>
      <c r="Q237" s="3" t="s">
        <v>5</v>
      </c>
    </row>
    <row r="238" spans="1:17" x14ac:dyDescent="0.25">
      <c r="A238" s="3" t="s">
        <v>1121</v>
      </c>
      <c r="B238" s="3" t="s">
        <v>1122</v>
      </c>
      <c r="C238" s="3" t="s">
        <v>128</v>
      </c>
      <c r="D238" s="3" t="s">
        <v>1123</v>
      </c>
      <c r="E238" s="3" t="s">
        <v>1027</v>
      </c>
      <c r="F238" s="3" t="s">
        <v>647</v>
      </c>
      <c r="G238" s="15">
        <v>46133</v>
      </c>
      <c r="H238" s="16">
        <f t="shared" si="6"/>
        <v>239</v>
      </c>
      <c r="I238" s="16" t="str">
        <f t="shared" si="7"/>
        <v>181 à 240 dias</v>
      </c>
      <c r="J238" s="4">
        <v>1</v>
      </c>
      <c r="K238" s="5">
        <v>2305.67</v>
      </c>
      <c r="L238" s="6">
        <v>229.97</v>
      </c>
      <c r="M238" s="5">
        <v>2535.64</v>
      </c>
      <c r="N238" s="7">
        <v>133223.93</v>
      </c>
      <c r="O238" s="7">
        <v>199841.04</v>
      </c>
      <c r="P238" s="3" t="s">
        <v>0</v>
      </c>
      <c r="Q238" s="3" t="s">
        <v>5</v>
      </c>
    </row>
    <row r="239" spans="1:17" x14ac:dyDescent="0.25">
      <c r="A239" s="3" t="s">
        <v>1124</v>
      </c>
      <c r="B239" s="3" t="s">
        <v>1125</v>
      </c>
      <c r="C239" s="3" t="s">
        <v>50</v>
      </c>
      <c r="D239" s="3" t="s">
        <v>1126</v>
      </c>
      <c r="E239" s="3" t="s">
        <v>1127</v>
      </c>
      <c r="F239" s="3" t="s">
        <v>1128</v>
      </c>
      <c r="G239" s="15">
        <v>46133</v>
      </c>
      <c r="H239" s="16">
        <f t="shared" si="6"/>
        <v>198</v>
      </c>
      <c r="I239" s="16" t="str">
        <f t="shared" si="7"/>
        <v>181 à 240 dias</v>
      </c>
      <c r="J239" s="4">
        <v>2</v>
      </c>
      <c r="K239" s="5">
        <v>2814.45</v>
      </c>
      <c r="L239" s="6">
        <v>156.81</v>
      </c>
      <c r="M239" s="5">
        <v>3001.48</v>
      </c>
      <c r="N239" s="8">
        <v>15322.05</v>
      </c>
      <c r="O239" s="7">
        <v>329401.62</v>
      </c>
      <c r="P239" s="3" t="s">
        <v>0</v>
      </c>
      <c r="Q239" s="3" t="s">
        <v>5</v>
      </c>
    </row>
    <row r="240" spans="1:17" x14ac:dyDescent="0.25">
      <c r="A240" s="3" t="s">
        <v>1129</v>
      </c>
      <c r="B240" s="3" t="s">
        <v>1130</v>
      </c>
      <c r="C240" s="3" t="s">
        <v>37</v>
      </c>
      <c r="D240" s="3" t="s">
        <v>1131</v>
      </c>
      <c r="E240" s="3" t="s">
        <v>1132</v>
      </c>
      <c r="F240" s="3" t="s">
        <v>473</v>
      </c>
      <c r="G240" s="15">
        <v>46133</v>
      </c>
      <c r="H240" s="16">
        <f t="shared" si="6"/>
        <v>228</v>
      </c>
      <c r="I240" s="16" t="str">
        <f t="shared" si="7"/>
        <v>181 à 240 dias</v>
      </c>
      <c r="J240" s="4">
        <v>7</v>
      </c>
      <c r="K240" s="5">
        <v>3806.13</v>
      </c>
      <c r="L240" s="6">
        <v>233.91</v>
      </c>
      <c r="M240" s="5">
        <v>4040.04</v>
      </c>
      <c r="N240" s="5">
        <v>2144.3000000000002</v>
      </c>
      <c r="O240" s="7">
        <v>130811.82</v>
      </c>
      <c r="P240" s="3" t="s">
        <v>0</v>
      </c>
      <c r="Q240" s="3" t="s">
        <v>5</v>
      </c>
    </row>
    <row r="241" spans="1:17" x14ac:dyDescent="0.25">
      <c r="A241" s="3" t="s">
        <v>1133</v>
      </c>
      <c r="B241" s="3" t="s">
        <v>1134</v>
      </c>
      <c r="C241" s="3" t="s">
        <v>50</v>
      </c>
      <c r="D241" s="3" t="s">
        <v>1135</v>
      </c>
      <c r="E241" s="3" t="s">
        <v>1136</v>
      </c>
      <c r="F241" s="3" t="s">
        <v>647</v>
      </c>
      <c r="G241" s="15">
        <v>46133</v>
      </c>
      <c r="H241" s="16">
        <f t="shared" si="6"/>
        <v>239</v>
      </c>
      <c r="I241" s="16" t="str">
        <f t="shared" si="7"/>
        <v>181 à 240 dias</v>
      </c>
      <c r="J241" s="4">
        <v>1</v>
      </c>
      <c r="K241" s="5">
        <v>1435.63</v>
      </c>
      <c r="L241" s="6">
        <v>144.4</v>
      </c>
      <c r="M241" s="5">
        <v>1580.03</v>
      </c>
      <c r="N241" s="8">
        <v>29256.240000000002</v>
      </c>
      <c r="O241" s="7">
        <v>142127.37</v>
      </c>
      <c r="P241" s="3" t="s">
        <v>0</v>
      </c>
      <c r="Q241" s="3" t="s">
        <v>5</v>
      </c>
    </row>
    <row r="242" spans="1:17" x14ac:dyDescent="0.25">
      <c r="A242" s="3" t="s">
        <v>1137</v>
      </c>
      <c r="B242" s="3" t="s">
        <v>1138</v>
      </c>
      <c r="C242" s="3" t="s">
        <v>37</v>
      </c>
      <c r="D242" s="3" t="s">
        <v>1139</v>
      </c>
      <c r="E242" s="3" t="s">
        <v>488</v>
      </c>
      <c r="F242" s="3" t="s">
        <v>678</v>
      </c>
      <c r="G242" s="15">
        <v>46133</v>
      </c>
      <c r="H242" s="16">
        <f t="shared" si="6"/>
        <v>208</v>
      </c>
      <c r="I242" s="16" t="str">
        <f t="shared" si="7"/>
        <v>181 à 240 dias</v>
      </c>
      <c r="J242" s="4">
        <v>1</v>
      </c>
      <c r="K242" s="5">
        <v>1049.73</v>
      </c>
      <c r="L242" s="9">
        <v>95.04</v>
      </c>
      <c r="M242" s="5">
        <v>1144.77</v>
      </c>
      <c r="N242" s="8">
        <v>47068.99</v>
      </c>
      <c r="O242" s="8">
        <v>47156.07</v>
      </c>
      <c r="P242" s="3" t="s">
        <v>0</v>
      </c>
      <c r="Q242" s="3" t="s">
        <v>5</v>
      </c>
    </row>
    <row r="243" spans="1:17" x14ac:dyDescent="0.25">
      <c r="A243" s="3" t="s">
        <v>1140</v>
      </c>
      <c r="B243" s="3" t="s">
        <v>1141</v>
      </c>
      <c r="C243" s="3" t="s">
        <v>25</v>
      </c>
      <c r="D243" s="3" t="s">
        <v>1142</v>
      </c>
      <c r="E243" s="3" t="s">
        <v>384</v>
      </c>
      <c r="F243" s="3" t="s">
        <v>57</v>
      </c>
      <c r="G243" s="15">
        <v>46133</v>
      </c>
      <c r="H243" s="16">
        <f t="shared" si="6"/>
        <v>223</v>
      </c>
      <c r="I243" s="16" t="str">
        <f t="shared" si="7"/>
        <v>181 à 240 dias</v>
      </c>
      <c r="J243" s="4">
        <v>1</v>
      </c>
      <c r="K243" s="6">
        <v>994.27</v>
      </c>
      <c r="L243" s="9">
        <v>94.13</v>
      </c>
      <c r="M243" s="5">
        <v>1088.4000000000001</v>
      </c>
      <c r="N243" s="8">
        <v>50700.58</v>
      </c>
      <c r="O243" s="8">
        <v>38973.07</v>
      </c>
      <c r="P243" s="3" t="s">
        <v>0</v>
      </c>
      <c r="Q243" s="3" t="s">
        <v>5</v>
      </c>
    </row>
    <row r="244" spans="1:17" x14ac:dyDescent="0.25">
      <c r="A244" s="3" t="s">
        <v>1143</v>
      </c>
      <c r="B244" s="3" t="s">
        <v>1144</v>
      </c>
      <c r="C244" s="3" t="s">
        <v>120</v>
      </c>
      <c r="D244" s="3" t="s">
        <v>1145</v>
      </c>
      <c r="E244" s="3" t="s">
        <v>1146</v>
      </c>
      <c r="F244" s="3" t="s">
        <v>368</v>
      </c>
      <c r="G244" s="15">
        <v>46133</v>
      </c>
      <c r="H244" s="16">
        <f t="shared" si="6"/>
        <v>193</v>
      </c>
      <c r="I244" s="16" t="str">
        <f t="shared" si="7"/>
        <v>181 à 240 dias</v>
      </c>
      <c r="J244" s="4">
        <v>6</v>
      </c>
      <c r="K244" s="5">
        <v>8220</v>
      </c>
      <c r="L244" s="6">
        <v>417.54</v>
      </c>
      <c r="M244" s="5">
        <v>8637.5400000000009</v>
      </c>
      <c r="N244" s="8">
        <v>95456.58</v>
      </c>
      <c r="O244" s="7">
        <v>211585.1</v>
      </c>
      <c r="P244" s="3" t="s">
        <v>0</v>
      </c>
      <c r="Q244" s="3" t="s">
        <v>5</v>
      </c>
    </row>
    <row r="245" spans="1:17" x14ac:dyDescent="0.25">
      <c r="A245" s="3" t="s">
        <v>369</v>
      </c>
      <c r="B245" s="3" t="s">
        <v>1147</v>
      </c>
      <c r="C245" s="3" t="s">
        <v>94</v>
      </c>
      <c r="D245" s="3" t="s">
        <v>1148</v>
      </c>
      <c r="E245" s="3" t="s">
        <v>1149</v>
      </c>
      <c r="F245" s="3" t="s">
        <v>368</v>
      </c>
      <c r="G245" s="15">
        <v>46133</v>
      </c>
      <c r="H245" s="16">
        <f t="shared" si="6"/>
        <v>193</v>
      </c>
      <c r="I245" s="16" t="str">
        <f t="shared" si="7"/>
        <v>181 à 240 dias</v>
      </c>
      <c r="J245" s="4">
        <v>2</v>
      </c>
      <c r="K245" s="5">
        <v>1899.35</v>
      </c>
      <c r="L245" s="6">
        <v>102.65</v>
      </c>
      <c r="M245" s="5">
        <v>2002</v>
      </c>
      <c r="N245" s="8">
        <v>12154.57</v>
      </c>
      <c r="O245" s="7">
        <v>162101.15</v>
      </c>
      <c r="P245" s="3" t="s">
        <v>0</v>
      </c>
      <c r="Q245" s="3" t="s">
        <v>5</v>
      </c>
    </row>
    <row r="246" spans="1:17" x14ac:dyDescent="0.25">
      <c r="A246" s="3" t="s">
        <v>1150</v>
      </c>
      <c r="B246" s="3" t="s">
        <v>1151</v>
      </c>
      <c r="C246" s="3" t="s">
        <v>120</v>
      </c>
      <c r="D246" s="3" t="s">
        <v>1152</v>
      </c>
      <c r="E246" s="3" t="s">
        <v>469</v>
      </c>
      <c r="F246" s="3" t="s">
        <v>1153</v>
      </c>
      <c r="G246" s="15">
        <v>46133</v>
      </c>
      <c r="H246" s="16">
        <f t="shared" si="6"/>
        <v>205</v>
      </c>
      <c r="I246" s="16" t="str">
        <f t="shared" si="7"/>
        <v>181 à 240 dias</v>
      </c>
      <c r="J246" s="4">
        <v>8</v>
      </c>
      <c r="K246" s="8">
        <v>10985.53</v>
      </c>
      <c r="L246" s="6">
        <v>518.1</v>
      </c>
      <c r="M246" s="8">
        <v>11503.63</v>
      </c>
      <c r="N246" s="8">
        <v>66738.539999999994</v>
      </c>
      <c r="O246" s="7">
        <v>155083</v>
      </c>
      <c r="P246" s="3" t="s">
        <v>0</v>
      </c>
      <c r="Q246" s="3" t="s">
        <v>5</v>
      </c>
    </row>
    <row r="247" spans="1:17" x14ac:dyDescent="0.25">
      <c r="A247" s="3" t="s">
        <v>1154</v>
      </c>
      <c r="B247" s="3" t="s">
        <v>1155</v>
      </c>
      <c r="C247" s="3" t="s">
        <v>128</v>
      </c>
      <c r="D247" s="3" t="s">
        <v>1156</v>
      </c>
      <c r="E247" s="3" t="s">
        <v>901</v>
      </c>
      <c r="F247" s="3" t="s">
        <v>1039</v>
      </c>
      <c r="G247" s="15">
        <v>46133</v>
      </c>
      <c r="H247" s="16">
        <f t="shared" si="6"/>
        <v>190</v>
      </c>
      <c r="I247" s="16" t="str">
        <f t="shared" si="7"/>
        <v>181 à 240 dias</v>
      </c>
      <c r="J247" s="4">
        <v>6</v>
      </c>
      <c r="K247" s="8">
        <v>16710.86</v>
      </c>
      <c r="L247" s="6">
        <v>923.18</v>
      </c>
      <c r="M247" s="8">
        <v>17634.04</v>
      </c>
      <c r="N247" s="7">
        <v>153296.22</v>
      </c>
      <c r="O247" s="7">
        <v>460181.14</v>
      </c>
      <c r="P247" s="3" t="s">
        <v>0</v>
      </c>
      <c r="Q247" s="3" t="s">
        <v>5</v>
      </c>
    </row>
    <row r="248" spans="1:17" x14ac:dyDescent="0.25">
      <c r="A248" s="3" t="s">
        <v>1157</v>
      </c>
      <c r="B248" s="3" t="s">
        <v>1158</v>
      </c>
      <c r="C248" s="3" t="s">
        <v>50</v>
      </c>
      <c r="D248" s="3" t="s">
        <v>1159</v>
      </c>
      <c r="E248" s="3" t="s">
        <v>1160</v>
      </c>
      <c r="F248" s="3" t="s">
        <v>57</v>
      </c>
      <c r="G248" s="15">
        <v>46133</v>
      </c>
      <c r="H248" s="16">
        <f t="shared" si="6"/>
        <v>223</v>
      </c>
      <c r="I248" s="16" t="str">
        <f t="shared" si="7"/>
        <v>181 à 240 dias</v>
      </c>
      <c r="J248" s="4">
        <v>6</v>
      </c>
      <c r="K248" s="5">
        <v>6510.18</v>
      </c>
      <c r="L248" s="6">
        <v>356.29</v>
      </c>
      <c r="M248" s="5">
        <v>6991.3</v>
      </c>
      <c r="N248" s="5">
        <v>2170.06</v>
      </c>
      <c r="O248" s="7">
        <v>258237.14</v>
      </c>
      <c r="P248" s="3" t="s">
        <v>0</v>
      </c>
      <c r="Q248" s="3" t="s">
        <v>5</v>
      </c>
    </row>
    <row r="249" spans="1:17" x14ac:dyDescent="0.25">
      <c r="A249" s="3" t="s">
        <v>1113</v>
      </c>
      <c r="B249" s="3" t="s">
        <v>1161</v>
      </c>
      <c r="C249" s="3" t="s">
        <v>94</v>
      </c>
      <c r="D249" s="3" t="s">
        <v>1162</v>
      </c>
      <c r="E249" s="3" t="s">
        <v>1163</v>
      </c>
      <c r="F249" s="3" t="s">
        <v>57</v>
      </c>
      <c r="G249" s="15">
        <v>46133</v>
      </c>
      <c r="H249" s="16">
        <f t="shared" si="6"/>
        <v>223</v>
      </c>
      <c r="I249" s="16" t="str">
        <f t="shared" si="7"/>
        <v>181 à 240 dias</v>
      </c>
      <c r="J249" s="4">
        <v>2</v>
      </c>
      <c r="K249" s="5">
        <v>1646.74</v>
      </c>
      <c r="L249" s="9">
        <v>97.28</v>
      </c>
      <c r="M249" s="5">
        <v>1744.02</v>
      </c>
      <c r="N249" s="8">
        <v>14062.12</v>
      </c>
      <c r="O249" s="7">
        <v>133385.94</v>
      </c>
      <c r="P249" s="3" t="s">
        <v>0</v>
      </c>
      <c r="Q249" s="3" t="s">
        <v>5</v>
      </c>
    </row>
    <row r="250" spans="1:17" x14ac:dyDescent="0.25">
      <c r="A250" s="3" t="s">
        <v>1164</v>
      </c>
      <c r="B250" s="3" t="s">
        <v>1165</v>
      </c>
      <c r="C250" s="3" t="s">
        <v>349</v>
      </c>
      <c r="D250" s="3" t="s">
        <v>1166</v>
      </c>
      <c r="E250" s="3" t="s">
        <v>1167</v>
      </c>
      <c r="F250" s="3" t="s">
        <v>643</v>
      </c>
      <c r="G250" s="15">
        <v>46133</v>
      </c>
      <c r="H250" s="16">
        <f t="shared" si="6"/>
        <v>183</v>
      </c>
      <c r="I250" s="16" t="str">
        <f t="shared" si="7"/>
        <v>181 à 240 dias</v>
      </c>
      <c r="J250" s="4">
        <v>4</v>
      </c>
      <c r="K250" s="5">
        <v>5293.44</v>
      </c>
      <c r="L250" s="6">
        <v>254.45</v>
      </c>
      <c r="M250" s="5">
        <v>5547.89</v>
      </c>
      <c r="N250" s="8">
        <v>77102.42</v>
      </c>
      <c r="O250" s="7">
        <v>193053.54</v>
      </c>
      <c r="P250" s="3" t="s">
        <v>0</v>
      </c>
      <c r="Q250" s="3" t="s">
        <v>5</v>
      </c>
    </row>
    <row r="251" spans="1:17" x14ac:dyDescent="0.25">
      <c r="A251" s="3" t="s">
        <v>1168</v>
      </c>
      <c r="B251" s="3" t="s">
        <v>1169</v>
      </c>
      <c r="C251" s="3" t="s">
        <v>128</v>
      </c>
      <c r="D251" s="3" t="s">
        <v>1170</v>
      </c>
      <c r="E251" s="3" t="s">
        <v>1171</v>
      </c>
      <c r="F251" s="3" t="s">
        <v>520</v>
      </c>
      <c r="G251" s="15">
        <v>46133</v>
      </c>
      <c r="H251" s="16">
        <f t="shared" si="6"/>
        <v>203</v>
      </c>
      <c r="I251" s="16" t="str">
        <f t="shared" si="7"/>
        <v>181 à 240 dias</v>
      </c>
      <c r="J251" s="4">
        <v>7</v>
      </c>
      <c r="K251" s="5">
        <v>5994.4</v>
      </c>
      <c r="L251" s="6">
        <v>352.6</v>
      </c>
      <c r="M251" s="5">
        <v>6347</v>
      </c>
      <c r="N251" s="8">
        <v>47686.15</v>
      </c>
      <c r="O251" s="7">
        <v>253709.23</v>
      </c>
      <c r="P251" s="3" t="s">
        <v>0</v>
      </c>
      <c r="Q251" s="3" t="s">
        <v>5</v>
      </c>
    </row>
    <row r="252" spans="1:17" x14ac:dyDescent="0.25">
      <c r="A252" s="3" t="s">
        <v>489</v>
      </c>
      <c r="B252" s="3" t="s">
        <v>1172</v>
      </c>
      <c r="C252" s="3" t="s">
        <v>50</v>
      </c>
      <c r="D252" s="3" t="s">
        <v>1173</v>
      </c>
      <c r="E252" s="3" t="s">
        <v>1174</v>
      </c>
      <c r="F252" s="3" t="s">
        <v>647</v>
      </c>
      <c r="G252" s="15">
        <v>46133</v>
      </c>
      <c r="H252" s="16">
        <f t="shared" si="6"/>
        <v>239</v>
      </c>
      <c r="I252" s="16" t="str">
        <f t="shared" si="7"/>
        <v>181 à 240 dias</v>
      </c>
      <c r="J252" s="4">
        <v>2</v>
      </c>
      <c r="K252" s="5">
        <v>3719.74</v>
      </c>
      <c r="L252" s="6">
        <v>243.47</v>
      </c>
      <c r="M252" s="5">
        <v>3988.13</v>
      </c>
      <c r="N252" s="8">
        <v>62744.19</v>
      </c>
      <c r="O252" s="7">
        <v>159948.82</v>
      </c>
      <c r="P252" s="3" t="s">
        <v>0</v>
      </c>
      <c r="Q252" s="3" t="s">
        <v>5</v>
      </c>
    </row>
    <row r="253" spans="1:17" x14ac:dyDescent="0.25">
      <c r="A253" s="3" t="s">
        <v>1175</v>
      </c>
      <c r="B253" s="3" t="s">
        <v>1172</v>
      </c>
      <c r="C253" s="3" t="s">
        <v>50</v>
      </c>
      <c r="D253" s="3" t="s">
        <v>1176</v>
      </c>
      <c r="E253" s="3" t="s">
        <v>1174</v>
      </c>
      <c r="F253" s="3" t="s">
        <v>647</v>
      </c>
      <c r="G253" s="15">
        <v>46133</v>
      </c>
      <c r="H253" s="16">
        <f t="shared" si="6"/>
        <v>239</v>
      </c>
      <c r="I253" s="16" t="str">
        <f t="shared" si="7"/>
        <v>181 à 240 dias</v>
      </c>
      <c r="J253" s="4">
        <v>2</v>
      </c>
      <c r="K253" s="5">
        <v>3758.5</v>
      </c>
      <c r="L253" s="6">
        <v>246</v>
      </c>
      <c r="M253" s="5">
        <v>4029.68</v>
      </c>
      <c r="N253" s="8">
        <v>63432.76</v>
      </c>
      <c r="O253" s="7">
        <v>161615.5</v>
      </c>
      <c r="P253" s="3" t="s">
        <v>0</v>
      </c>
      <c r="Q253" s="3" t="s">
        <v>5</v>
      </c>
    </row>
    <row r="254" spans="1:17" x14ac:dyDescent="0.25">
      <c r="A254" s="3" t="s">
        <v>1177</v>
      </c>
      <c r="B254" s="3" t="s">
        <v>1172</v>
      </c>
      <c r="C254" s="3" t="s">
        <v>50</v>
      </c>
      <c r="D254" s="3" t="s">
        <v>1178</v>
      </c>
      <c r="E254" s="3" t="s">
        <v>1174</v>
      </c>
      <c r="F254" s="3" t="s">
        <v>647</v>
      </c>
      <c r="G254" s="15">
        <v>46133</v>
      </c>
      <c r="H254" s="16">
        <f t="shared" si="6"/>
        <v>239</v>
      </c>
      <c r="I254" s="16" t="str">
        <f t="shared" si="7"/>
        <v>181 à 240 dias</v>
      </c>
      <c r="J254" s="4">
        <v>2</v>
      </c>
      <c r="K254" s="5">
        <v>4119.4799999999996</v>
      </c>
      <c r="L254" s="6">
        <v>269.62</v>
      </c>
      <c r="M254" s="5">
        <v>4416.7</v>
      </c>
      <c r="N254" s="8">
        <v>70438.92</v>
      </c>
      <c r="O254" s="7">
        <v>177137.64</v>
      </c>
      <c r="P254" s="3" t="s">
        <v>0</v>
      </c>
      <c r="Q254" s="3" t="s">
        <v>5</v>
      </c>
    </row>
    <row r="255" spans="1:17" x14ac:dyDescent="0.25">
      <c r="A255" s="3" t="s">
        <v>485</v>
      </c>
      <c r="B255" s="3" t="s">
        <v>1172</v>
      </c>
      <c r="C255" s="3" t="s">
        <v>50</v>
      </c>
      <c r="D255" s="3" t="s">
        <v>1179</v>
      </c>
      <c r="E255" s="3" t="s">
        <v>1174</v>
      </c>
      <c r="F255" s="3" t="s">
        <v>647</v>
      </c>
      <c r="G255" s="15">
        <v>46133</v>
      </c>
      <c r="H255" s="16">
        <f t="shared" si="6"/>
        <v>239</v>
      </c>
      <c r="I255" s="16" t="str">
        <f t="shared" si="7"/>
        <v>181 à 240 dias</v>
      </c>
      <c r="J255" s="4">
        <v>2</v>
      </c>
      <c r="K255" s="5">
        <v>4155.42</v>
      </c>
      <c r="L255" s="6">
        <v>271.99</v>
      </c>
      <c r="M255" s="5">
        <v>4455.25</v>
      </c>
      <c r="N255" s="8">
        <v>71127.39</v>
      </c>
      <c r="O255" s="7">
        <v>178683.06</v>
      </c>
      <c r="P255" s="3" t="s">
        <v>0</v>
      </c>
      <c r="Q255" s="3" t="s">
        <v>5</v>
      </c>
    </row>
    <row r="256" spans="1:17" x14ac:dyDescent="0.25">
      <c r="A256" s="3" t="s">
        <v>1180</v>
      </c>
      <c r="B256" s="3" t="s">
        <v>1181</v>
      </c>
      <c r="C256" s="3" t="s">
        <v>25</v>
      </c>
      <c r="D256" s="3" t="s">
        <v>1182</v>
      </c>
      <c r="E256" s="3" t="s">
        <v>384</v>
      </c>
      <c r="F256" s="3" t="s">
        <v>678</v>
      </c>
      <c r="G256" s="15">
        <v>46133</v>
      </c>
      <c r="H256" s="16">
        <f t="shared" si="6"/>
        <v>208</v>
      </c>
      <c r="I256" s="16" t="str">
        <f t="shared" si="7"/>
        <v>181 à 240 dias</v>
      </c>
      <c r="J256" s="4">
        <v>1</v>
      </c>
      <c r="K256" s="5">
        <v>1271</v>
      </c>
      <c r="L256" s="6">
        <v>114.06</v>
      </c>
      <c r="M256" s="5">
        <v>1385.06</v>
      </c>
      <c r="N256" s="8">
        <v>62325.09</v>
      </c>
      <c r="O256" s="8">
        <v>52111</v>
      </c>
      <c r="P256" s="3" t="s">
        <v>0</v>
      </c>
      <c r="Q256" s="3" t="s">
        <v>5</v>
      </c>
    </row>
    <row r="257" spans="1:17" x14ac:dyDescent="0.25">
      <c r="A257" s="3" t="s">
        <v>1183</v>
      </c>
      <c r="B257" s="3" t="s">
        <v>1184</v>
      </c>
      <c r="C257" s="3" t="s">
        <v>164</v>
      </c>
      <c r="D257" s="3" t="s">
        <v>1185</v>
      </c>
      <c r="E257" s="3" t="s">
        <v>1186</v>
      </c>
      <c r="F257" s="3" t="s">
        <v>647</v>
      </c>
      <c r="G257" s="15">
        <v>46133</v>
      </c>
      <c r="H257" s="16">
        <f t="shared" si="6"/>
        <v>239</v>
      </c>
      <c r="I257" s="16" t="str">
        <f t="shared" si="7"/>
        <v>181 à 240 dias</v>
      </c>
      <c r="J257" s="4">
        <v>2</v>
      </c>
      <c r="K257" s="5">
        <v>2783.67</v>
      </c>
      <c r="L257" s="6">
        <v>190.29</v>
      </c>
      <c r="M257" s="5">
        <v>2973.96</v>
      </c>
      <c r="N257" s="8">
        <v>13920.25</v>
      </c>
      <c r="O257" s="7">
        <v>168627.45</v>
      </c>
      <c r="P257" s="3" t="s">
        <v>0</v>
      </c>
      <c r="Q257" s="3" t="s">
        <v>5</v>
      </c>
    </row>
    <row r="258" spans="1:17" x14ac:dyDescent="0.25">
      <c r="A258" s="3" t="s">
        <v>1187</v>
      </c>
      <c r="B258" s="3" t="s">
        <v>1188</v>
      </c>
      <c r="C258" s="3" t="s">
        <v>25</v>
      </c>
      <c r="D258" s="3" t="s">
        <v>1189</v>
      </c>
      <c r="E258" s="3" t="s">
        <v>1190</v>
      </c>
      <c r="F258" s="3" t="s">
        <v>678</v>
      </c>
      <c r="G258" s="15">
        <v>46133</v>
      </c>
      <c r="H258" s="16">
        <f t="shared" ref="H258:H321" si="8">G258-F258</f>
        <v>208</v>
      </c>
      <c r="I258" s="16" t="str">
        <f t="shared" ref="I258:I321" si="9">+IF(H258&lt;35,"Adimplente",IF(H258&lt;=60,"35 à 60 dias",IF(H258&lt;=90,"61 à 90 dias",IF(H258&lt;=120,"91 à 120 dias",IF(H258&lt;=180,"121 à 180 dias",IF(H258&lt;=240,"181 à 240 dias",IF(H258&lt;=365,"241 à 365 dias","Maior 365 dias")))))))</f>
        <v>181 à 240 dias</v>
      </c>
      <c r="J258" s="4">
        <v>3</v>
      </c>
      <c r="K258" s="5">
        <v>2874.48</v>
      </c>
      <c r="L258" s="6">
        <v>189.6</v>
      </c>
      <c r="M258" s="5">
        <v>3064.08</v>
      </c>
      <c r="N258" s="8">
        <v>53068.55</v>
      </c>
      <c r="O258" s="8">
        <v>24912.16</v>
      </c>
      <c r="P258" s="3" t="s">
        <v>0</v>
      </c>
      <c r="Q258" s="3" t="s">
        <v>5</v>
      </c>
    </row>
    <row r="259" spans="1:17" x14ac:dyDescent="0.25">
      <c r="A259" s="3" t="s">
        <v>1191</v>
      </c>
      <c r="B259" s="3" t="s">
        <v>1188</v>
      </c>
      <c r="C259" s="3" t="s">
        <v>25</v>
      </c>
      <c r="D259" s="3" t="s">
        <v>1192</v>
      </c>
      <c r="E259" s="3" t="s">
        <v>1190</v>
      </c>
      <c r="F259" s="3" t="s">
        <v>678</v>
      </c>
      <c r="G259" s="15">
        <v>46133</v>
      </c>
      <c r="H259" s="16">
        <f t="shared" si="8"/>
        <v>208</v>
      </c>
      <c r="I259" s="16" t="str">
        <f t="shared" si="9"/>
        <v>181 à 240 dias</v>
      </c>
      <c r="J259" s="4">
        <v>3</v>
      </c>
      <c r="K259" s="5">
        <v>2976.69</v>
      </c>
      <c r="L259" s="6">
        <v>196.33</v>
      </c>
      <c r="M259" s="5">
        <v>3173.02</v>
      </c>
      <c r="N259" s="8">
        <v>49866.81</v>
      </c>
      <c r="O259" s="8">
        <v>28774.67</v>
      </c>
      <c r="P259" s="3" t="s">
        <v>0</v>
      </c>
      <c r="Q259" s="3" t="s">
        <v>5</v>
      </c>
    </row>
    <row r="260" spans="1:17" x14ac:dyDescent="0.25">
      <c r="A260" s="3" t="s">
        <v>1193</v>
      </c>
      <c r="B260" s="3" t="s">
        <v>1194</v>
      </c>
      <c r="C260" s="3" t="s">
        <v>25</v>
      </c>
      <c r="D260" s="3" t="s">
        <v>1195</v>
      </c>
      <c r="E260" s="3" t="s">
        <v>1196</v>
      </c>
      <c r="F260" s="3" t="s">
        <v>368</v>
      </c>
      <c r="G260" s="15">
        <v>46133</v>
      </c>
      <c r="H260" s="16">
        <f t="shared" si="8"/>
        <v>193</v>
      </c>
      <c r="I260" s="16" t="str">
        <f t="shared" si="9"/>
        <v>181 à 240 dias</v>
      </c>
      <c r="J260" s="4">
        <v>6</v>
      </c>
      <c r="K260" s="5">
        <v>5439.21</v>
      </c>
      <c r="L260" s="6">
        <v>312.12</v>
      </c>
      <c r="M260" s="5">
        <v>5751.33</v>
      </c>
      <c r="N260" s="8">
        <v>25859.7</v>
      </c>
      <c r="O260" s="8">
        <v>82910.59</v>
      </c>
      <c r="P260" s="3" t="s">
        <v>0</v>
      </c>
      <c r="Q260" s="3" t="s">
        <v>5</v>
      </c>
    </row>
    <row r="261" spans="1:17" x14ac:dyDescent="0.25">
      <c r="A261" s="3" t="s">
        <v>1197</v>
      </c>
      <c r="B261" s="3" t="s">
        <v>1198</v>
      </c>
      <c r="C261" s="3" t="s">
        <v>25</v>
      </c>
      <c r="D261" s="3" t="s">
        <v>1199</v>
      </c>
      <c r="E261" s="3" t="s">
        <v>1200</v>
      </c>
      <c r="F261" s="3" t="s">
        <v>57</v>
      </c>
      <c r="G261" s="15">
        <v>46133</v>
      </c>
      <c r="H261" s="16">
        <f t="shared" si="8"/>
        <v>223</v>
      </c>
      <c r="I261" s="16" t="str">
        <f t="shared" si="9"/>
        <v>181 à 240 dias</v>
      </c>
      <c r="J261" s="4">
        <v>1</v>
      </c>
      <c r="K261" s="5">
        <v>1846.12</v>
      </c>
      <c r="L261" s="6">
        <v>174.76</v>
      </c>
      <c r="M261" s="5">
        <v>2020.88</v>
      </c>
      <c r="N261" s="7">
        <v>118846.07</v>
      </c>
      <c r="O261" s="5">
        <v>3782.3</v>
      </c>
      <c r="P261" s="3" t="s">
        <v>0</v>
      </c>
      <c r="Q261" s="3" t="s">
        <v>5</v>
      </c>
    </row>
    <row r="262" spans="1:17" x14ac:dyDescent="0.25">
      <c r="A262" s="3" t="s">
        <v>1201</v>
      </c>
      <c r="B262" s="3" t="s">
        <v>1202</v>
      </c>
      <c r="C262" s="3" t="s">
        <v>25</v>
      </c>
      <c r="D262" s="3" t="s">
        <v>1203</v>
      </c>
      <c r="E262" s="3" t="s">
        <v>1204</v>
      </c>
      <c r="F262" s="3" t="s">
        <v>346</v>
      </c>
      <c r="G262" s="15">
        <v>46133</v>
      </c>
      <c r="H262" s="16">
        <f t="shared" si="8"/>
        <v>186</v>
      </c>
      <c r="I262" s="16" t="str">
        <f t="shared" si="9"/>
        <v>181 à 240 dias</v>
      </c>
      <c r="J262" s="4">
        <v>2</v>
      </c>
      <c r="K262" s="5">
        <v>2461.02</v>
      </c>
      <c r="L262" s="6">
        <v>156.59</v>
      </c>
      <c r="M262" s="5">
        <v>2617.61</v>
      </c>
      <c r="N262" s="8">
        <v>66588.14</v>
      </c>
      <c r="O262" s="8">
        <v>15031.92</v>
      </c>
      <c r="P262" s="3" t="s">
        <v>0</v>
      </c>
      <c r="Q262" s="3" t="s">
        <v>5</v>
      </c>
    </row>
    <row r="263" spans="1:17" x14ac:dyDescent="0.25">
      <c r="A263" s="3" t="s">
        <v>1205</v>
      </c>
      <c r="B263" s="3" t="s">
        <v>1206</v>
      </c>
      <c r="C263" s="3" t="s">
        <v>50</v>
      </c>
      <c r="D263" s="3" t="s">
        <v>1207</v>
      </c>
      <c r="E263" s="3" t="s">
        <v>1208</v>
      </c>
      <c r="F263" s="3" t="s">
        <v>678</v>
      </c>
      <c r="G263" s="15">
        <v>46133</v>
      </c>
      <c r="H263" s="16">
        <f t="shared" si="8"/>
        <v>208</v>
      </c>
      <c r="I263" s="16" t="str">
        <f t="shared" si="9"/>
        <v>181 à 240 dias</v>
      </c>
      <c r="J263" s="4">
        <v>7</v>
      </c>
      <c r="K263" s="5">
        <v>7595.21</v>
      </c>
      <c r="L263" s="6">
        <v>456.89</v>
      </c>
      <c r="M263" s="5">
        <v>8200.1200000000008</v>
      </c>
      <c r="N263" s="5">
        <v>3255.09</v>
      </c>
      <c r="O263" s="7">
        <v>257152.11</v>
      </c>
      <c r="P263" s="3" t="s">
        <v>0</v>
      </c>
      <c r="Q263" s="3" t="s">
        <v>5</v>
      </c>
    </row>
    <row r="264" spans="1:17" x14ac:dyDescent="0.25">
      <c r="A264" s="3" t="s">
        <v>1209</v>
      </c>
      <c r="B264" s="3" t="s">
        <v>1206</v>
      </c>
      <c r="C264" s="3" t="s">
        <v>50</v>
      </c>
      <c r="D264" s="3" t="s">
        <v>1210</v>
      </c>
      <c r="E264" s="3" t="s">
        <v>1208</v>
      </c>
      <c r="F264" s="3" t="s">
        <v>678</v>
      </c>
      <c r="G264" s="15">
        <v>46133</v>
      </c>
      <c r="H264" s="16">
        <f t="shared" si="8"/>
        <v>208</v>
      </c>
      <c r="I264" s="16" t="str">
        <f t="shared" si="9"/>
        <v>181 à 240 dias</v>
      </c>
      <c r="J264" s="4">
        <v>7</v>
      </c>
      <c r="K264" s="5">
        <v>7595.21</v>
      </c>
      <c r="L264" s="6">
        <v>456.89</v>
      </c>
      <c r="M264" s="5">
        <v>8200.1200000000008</v>
      </c>
      <c r="N264" s="5">
        <v>3255.09</v>
      </c>
      <c r="O264" s="7">
        <v>257152.11</v>
      </c>
      <c r="P264" s="3" t="s">
        <v>0</v>
      </c>
      <c r="Q264" s="3" t="s">
        <v>5</v>
      </c>
    </row>
    <row r="265" spans="1:17" x14ac:dyDescent="0.25">
      <c r="A265" s="3" t="s">
        <v>1211</v>
      </c>
      <c r="B265" s="3" t="s">
        <v>1206</v>
      </c>
      <c r="C265" s="3" t="s">
        <v>50</v>
      </c>
      <c r="D265" s="3" t="s">
        <v>1212</v>
      </c>
      <c r="E265" s="3" t="s">
        <v>1213</v>
      </c>
      <c r="F265" s="3" t="s">
        <v>678</v>
      </c>
      <c r="G265" s="15">
        <v>46133</v>
      </c>
      <c r="H265" s="16">
        <f t="shared" si="8"/>
        <v>208</v>
      </c>
      <c r="I265" s="16" t="str">
        <f t="shared" si="9"/>
        <v>181 à 240 dias</v>
      </c>
      <c r="J265" s="4">
        <v>7</v>
      </c>
      <c r="K265" s="5">
        <v>9434.18</v>
      </c>
      <c r="L265" s="6">
        <v>567.5</v>
      </c>
      <c r="M265" s="5">
        <v>10184.67</v>
      </c>
      <c r="N265" s="5">
        <v>6738.7</v>
      </c>
      <c r="O265" s="7">
        <v>316718.90000000002</v>
      </c>
      <c r="P265" s="3" t="s">
        <v>0</v>
      </c>
      <c r="Q265" s="3" t="s">
        <v>5</v>
      </c>
    </row>
    <row r="266" spans="1:17" x14ac:dyDescent="0.25">
      <c r="A266" s="3" t="s">
        <v>1214</v>
      </c>
      <c r="B266" s="3" t="s">
        <v>1206</v>
      </c>
      <c r="C266" s="3" t="s">
        <v>50</v>
      </c>
      <c r="D266" s="3" t="s">
        <v>1215</v>
      </c>
      <c r="E266" s="3" t="s">
        <v>1213</v>
      </c>
      <c r="F266" s="3" t="s">
        <v>678</v>
      </c>
      <c r="G266" s="15">
        <v>46133</v>
      </c>
      <c r="H266" s="16">
        <f t="shared" si="8"/>
        <v>208</v>
      </c>
      <c r="I266" s="16" t="str">
        <f t="shared" si="9"/>
        <v>181 à 240 dias</v>
      </c>
      <c r="J266" s="4">
        <v>7</v>
      </c>
      <c r="K266" s="5">
        <v>9434.18</v>
      </c>
      <c r="L266" s="6">
        <v>567.5</v>
      </c>
      <c r="M266" s="5">
        <v>10184.67</v>
      </c>
      <c r="N266" s="5">
        <v>6738.7</v>
      </c>
      <c r="O266" s="7">
        <v>316718.90000000002</v>
      </c>
      <c r="P266" s="3" t="s">
        <v>0</v>
      </c>
      <c r="Q266" s="3" t="s">
        <v>5</v>
      </c>
    </row>
    <row r="267" spans="1:17" x14ac:dyDescent="0.25">
      <c r="A267" s="3" t="s">
        <v>1216</v>
      </c>
      <c r="B267" s="3" t="s">
        <v>1217</v>
      </c>
      <c r="C267" s="3" t="s">
        <v>128</v>
      </c>
      <c r="D267" s="3" t="s">
        <v>1218</v>
      </c>
      <c r="E267" s="3" t="s">
        <v>1219</v>
      </c>
      <c r="F267" s="3" t="s">
        <v>669</v>
      </c>
      <c r="G267" s="15">
        <v>46133</v>
      </c>
      <c r="H267" s="16">
        <f t="shared" si="8"/>
        <v>218</v>
      </c>
      <c r="I267" s="16" t="str">
        <f t="shared" si="9"/>
        <v>181 à 240 dias</v>
      </c>
      <c r="J267" s="4">
        <v>5</v>
      </c>
      <c r="K267" s="8">
        <v>12513.93</v>
      </c>
      <c r="L267" s="6">
        <v>587.63</v>
      </c>
      <c r="M267" s="8">
        <v>13101.56</v>
      </c>
      <c r="N267" s="7">
        <v>133518.31</v>
      </c>
      <c r="O267" s="7">
        <v>304830.5</v>
      </c>
      <c r="P267" s="3" t="s">
        <v>0</v>
      </c>
      <c r="Q267" s="3" t="s">
        <v>5</v>
      </c>
    </row>
    <row r="268" spans="1:17" x14ac:dyDescent="0.25">
      <c r="A268" s="3" t="s">
        <v>1220</v>
      </c>
      <c r="B268" s="3" t="s">
        <v>1221</v>
      </c>
      <c r="C268" s="3" t="s">
        <v>31</v>
      </c>
      <c r="D268" s="3" t="s">
        <v>1222</v>
      </c>
      <c r="E268" s="3" t="s">
        <v>1223</v>
      </c>
      <c r="F268" s="3" t="s">
        <v>57</v>
      </c>
      <c r="G268" s="15">
        <v>46133</v>
      </c>
      <c r="H268" s="16">
        <f t="shared" si="8"/>
        <v>223</v>
      </c>
      <c r="I268" s="16" t="str">
        <f t="shared" si="9"/>
        <v>181 à 240 dias</v>
      </c>
      <c r="J268" s="4">
        <v>8</v>
      </c>
      <c r="K268" s="8">
        <v>31000</v>
      </c>
      <c r="L268" s="5">
        <v>1930</v>
      </c>
      <c r="M268" s="8">
        <v>32930</v>
      </c>
      <c r="N268" s="8">
        <v>46850</v>
      </c>
      <c r="O268" s="7">
        <v>150650</v>
      </c>
      <c r="P268" s="3" t="s">
        <v>0</v>
      </c>
      <c r="Q268" s="3" t="s">
        <v>5</v>
      </c>
    </row>
    <row r="269" spans="1:17" x14ac:dyDescent="0.25">
      <c r="A269" s="3" t="s">
        <v>1224</v>
      </c>
      <c r="B269" s="3" t="s">
        <v>1225</v>
      </c>
      <c r="C269" s="3" t="s">
        <v>25</v>
      </c>
      <c r="D269" s="3" t="s">
        <v>1226</v>
      </c>
      <c r="E269" s="3" t="s">
        <v>1227</v>
      </c>
      <c r="F269" s="3" t="s">
        <v>643</v>
      </c>
      <c r="G269" s="15">
        <v>46133</v>
      </c>
      <c r="H269" s="16">
        <f t="shared" si="8"/>
        <v>183</v>
      </c>
      <c r="I269" s="16" t="str">
        <f t="shared" si="9"/>
        <v>181 à 240 dias</v>
      </c>
      <c r="J269" s="4">
        <v>3</v>
      </c>
      <c r="K269" s="5">
        <v>2237.0100000000002</v>
      </c>
      <c r="L269" s="9">
        <v>99.34</v>
      </c>
      <c r="M269" s="5">
        <v>2336.35</v>
      </c>
      <c r="N269" s="8">
        <v>49314.48</v>
      </c>
      <c r="O269" s="8">
        <v>30572.47</v>
      </c>
      <c r="P269" s="3" t="s">
        <v>0</v>
      </c>
      <c r="Q269" s="3" t="s">
        <v>5</v>
      </c>
    </row>
    <row r="270" spans="1:17" x14ac:dyDescent="0.25">
      <c r="A270" s="3" t="s">
        <v>1228</v>
      </c>
      <c r="B270" s="3" t="s">
        <v>1229</v>
      </c>
      <c r="C270" s="3" t="s">
        <v>349</v>
      </c>
      <c r="D270" s="3" t="s">
        <v>1230</v>
      </c>
      <c r="E270" s="3" t="s">
        <v>446</v>
      </c>
      <c r="F270" s="3" t="s">
        <v>669</v>
      </c>
      <c r="G270" s="15">
        <v>46133</v>
      </c>
      <c r="H270" s="16">
        <f t="shared" si="8"/>
        <v>218</v>
      </c>
      <c r="I270" s="16" t="str">
        <f t="shared" si="9"/>
        <v>181 à 240 dias</v>
      </c>
      <c r="J270" s="4">
        <v>1</v>
      </c>
      <c r="K270" s="5">
        <v>1442.88</v>
      </c>
      <c r="L270" s="6">
        <v>133.81</v>
      </c>
      <c r="M270" s="5">
        <v>1576.69</v>
      </c>
      <c r="N270" s="8">
        <v>81464.009999999995</v>
      </c>
      <c r="O270" s="7">
        <v>177474.24</v>
      </c>
      <c r="P270" s="3" t="s">
        <v>0</v>
      </c>
      <c r="Q270" s="3" t="s">
        <v>5</v>
      </c>
    </row>
    <row r="271" spans="1:17" x14ac:dyDescent="0.25">
      <c r="A271" s="3" t="s">
        <v>1231</v>
      </c>
      <c r="B271" s="3" t="s">
        <v>1232</v>
      </c>
      <c r="C271" s="3" t="s">
        <v>164</v>
      </c>
      <c r="D271" s="3" t="s">
        <v>1233</v>
      </c>
      <c r="E271" s="3" t="s">
        <v>1234</v>
      </c>
      <c r="F271" s="3" t="s">
        <v>732</v>
      </c>
      <c r="G271" s="15">
        <v>46133</v>
      </c>
      <c r="H271" s="16">
        <f t="shared" si="8"/>
        <v>213</v>
      </c>
      <c r="I271" s="16" t="str">
        <f t="shared" si="9"/>
        <v>181 à 240 dias</v>
      </c>
      <c r="J271" s="4">
        <v>2</v>
      </c>
      <c r="K271" s="5">
        <v>1835</v>
      </c>
      <c r="L271" s="6">
        <v>200.88</v>
      </c>
      <c r="M271" s="5">
        <v>2035.88</v>
      </c>
      <c r="N271" s="5">
        <v>9759.02</v>
      </c>
      <c r="O271" s="7">
        <v>215449.22</v>
      </c>
      <c r="P271" s="3" t="s">
        <v>0</v>
      </c>
      <c r="Q271" s="3" t="s">
        <v>5</v>
      </c>
    </row>
    <row r="272" spans="1:17" x14ac:dyDescent="0.25">
      <c r="A272" s="3" t="s">
        <v>963</v>
      </c>
      <c r="B272" s="3" t="s">
        <v>1235</v>
      </c>
      <c r="C272" s="3" t="s">
        <v>94</v>
      </c>
      <c r="D272" s="3" t="s">
        <v>1236</v>
      </c>
      <c r="E272" s="3" t="s">
        <v>1237</v>
      </c>
      <c r="F272" s="3" t="s">
        <v>643</v>
      </c>
      <c r="G272" s="15">
        <v>46133</v>
      </c>
      <c r="H272" s="16">
        <f t="shared" si="8"/>
        <v>183</v>
      </c>
      <c r="I272" s="16" t="str">
        <f t="shared" si="9"/>
        <v>181 à 240 dias</v>
      </c>
      <c r="J272" s="4">
        <v>2</v>
      </c>
      <c r="K272" s="5">
        <v>1477.4</v>
      </c>
      <c r="L272" s="9">
        <v>75.63</v>
      </c>
      <c r="M272" s="5">
        <v>1553.03</v>
      </c>
      <c r="N272" s="5">
        <v>5170.8999999999996</v>
      </c>
      <c r="O272" s="7">
        <v>127795.1</v>
      </c>
      <c r="P272" s="3" t="s">
        <v>0</v>
      </c>
      <c r="Q272" s="3" t="s">
        <v>5</v>
      </c>
    </row>
    <row r="273" spans="1:17" x14ac:dyDescent="0.25">
      <c r="A273" s="3" t="s">
        <v>1238</v>
      </c>
      <c r="B273" s="3" t="s">
        <v>1239</v>
      </c>
      <c r="C273" s="3" t="s">
        <v>50</v>
      </c>
      <c r="D273" s="3" t="s">
        <v>1240</v>
      </c>
      <c r="E273" s="3" t="s">
        <v>1241</v>
      </c>
      <c r="F273" s="3" t="s">
        <v>520</v>
      </c>
      <c r="G273" s="15">
        <v>46133</v>
      </c>
      <c r="H273" s="16">
        <f t="shared" si="8"/>
        <v>203</v>
      </c>
      <c r="I273" s="16" t="str">
        <f t="shared" si="9"/>
        <v>181 à 240 dias</v>
      </c>
      <c r="J273" s="11">
        <v>30</v>
      </c>
      <c r="K273" s="8">
        <v>23763.29</v>
      </c>
      <c r="L273" s="5">
        <v>1510.03</v>
      </c>
      <c r="M273" s="5">
        <v>25971.72</v>
      </c>
      <c r="N273" s="8">
        <v>14677.83</v>
      </c>
      <c r="O273" s="7">
        <v>216321.25</v>
      </c>
      <c r="P273" s="3" t="s">
        <v>0</v>
      </c>
      <c r="Q273" s="3" t="s">
        <v>5</v>
      </c>
    </row>
    <row r="274" spans="1:17" x14ac:dyDescent="0.25">
      <c r="A274" s="3" t="s">
        <v>1242</v>
      </c>
      <c r="B274" s="3" t="s">
        <v>1243</v>
      </c>
      <c r="C274" s="3" t="s">
        <v>120</v>
      </c>
      <c r="D274" s="3" t="s">
        <v>1244</v>
      </c>
      <c r="E274" s="3" t="s">
        <v>901</v>
      </c>
      <c r="F274" s="3" t="s">
        <v>703</v>
      </c>
      <c r="G274" s="15">
        <v>46133</v>
      </c>
      <c r="H274" s="16">
        <f t="shared" si="8"/>
        <v>234</v>
      </c>
      <c r="I274" s="16" t="str">
        <f t="shared" si="9"/>
        <v>181 à 240 dias</v>
      </c>
      <c r="J274" s="4">
        <v>2</v>
      </c>
      <c r="K274" s="5">
        <v>2886.56</v>
      </c>
      <c r="L274" s="6">
        <v>209.48</v>
      </c>
      <c r="M274" s="5">
        <v>3096.04</v>
      </c>
      <c r="N274" s="8">
        <v>94171.86</v>
      </c>
      <c r="O274" s="7">
        <v>216365.8</v>
      </c>
      <c r="P274" s="3" t="s">
        <v>0</v>
      </c>
      <c r="Q274" s="3" t="s">
        <v>5</v>
      </c>
    </row>
    <row r="275" spans="1:17" x14ac:dyDescent="0.25">
      <c r="A275" s="3" t="s">
        <v>1245</v>
      </c>
      <c r="B275" s="3" t="s">
        <v>1246</v>
      </c>
      <c r="C275" s="3" t="s">
        <v>25</v>
      </c>
      <c r="D275" s="3" t="s">
        <v>1247</v>
      </c>
      <c r="E275" s="3" t="s">
        <v>786</v>
      </c>
      <c r="F275" s="3" t="s">
        <v>520</v>
      </c>
      <c r="G275" s="15">
        <v>46133</v>
      </c>
      <c r="H275" s="16">
        <f t="shared" si="8"/>
        <v>203</v>
      </c>
      <c r="I275" s="16" t="str">
        <f t="shared" si="9"/>
        <v>181 à 240 dias</v>
      </c>
      <c r="J275" s="4">
        <v>1</v>
      </c>
      <c r="K275" s="5">
        <v>1035.26</v>
      </c>
      <c r="L275" s="9">
        <v>91.23</v>
      </c>
      <c r="M275" s="5">
        <v>1126.49</v>
      </c>
      <c r="N275" s="8">
        <v>70209.41</v>
      </c>
      <c r="O275" s="8">
        <v>51763</v>
      </c>
      <c r="P275" s="3" t="s">
        <v>0</v>
      </c>
      <c r="Q275" s="3" t="s">
        <v>5</v>
      </c>
    </row>
    <row r="276" spans="1:17" x14ac:dyDescent="0.25">
      <c r="A276" s="3" t="s">
        <v>1248</v>
      </c>
      <c r="B276" s="3" t="s">
        <v>1249</v>
      </c>
      <c r="C276" s="3" t="s">
        <v>128</v>
      </c>
      <c r="D276" s="3" t="s">
        <v>1250</v>
      </c>
      <c r="E276" s="3" t="s">
        <v>1251</v>
      </c>
      <c r="F276" s="3" t="s">
        <v>520</v>
      </c>
      <c r="G276" s="15">
        <v>46133</v>
      </c>
      <c r="H276" s="16">
        <f t="shared" si="8"/>
        <v>203</v>
      </c>
      <c r="I276" s="16" t="str">
        <f t="shared" si="9"/>
        <v>181 à 240 dias</v>
      </c>
      <c r="J276" s="4">
        <v>1</v>
      </c>
      <c r="K276" s="5">
        <v>1450.58</v>
      </c>
      <c r="L276" s="6">
        <v>127.27</v>
      </c>
      <c r="M276" s="5">
        <v>1577.85</v>
      </c>
      <c r="N276" s="8">
        <v>76785.259999999995</v>
      </c>
      <c r="O276" s="7">
        <v>231972.56</v>
      </c>
      <c r="P276" s="3" t="s">
        <v>0</v>
      </c>
      <c r="Q276" s="3" t="s">
        <v>5</v>
      </c>
    </row>
    <row r="277" spans="1:17" x14ac:dyDescent="0.25">
      <c r="A277" s="3" t="s">
        <v>1252</v>
      </c>
      <c r="B277" s="3" t="s">
        <v>1253</v>
      </c>
      <c r="C277" s="3" t="s">
        <v>164</v>
      </c>
      <c r="D277" s="3" t="s">
        <v>1254</v>
      </c>
      <c r="E277" s="3" t="s">
        <v>647</v>
      </c>
      <c r="F277" s="3" t="s">
        <v>647</v>
      </c>
      <c r="G277" s="15">
        <v>46133</v>
      </c>
      <c r="H277" s="16">
        <f t="shared" si="8"/>
        <v>239</v>
      </c>
      <c r="I277" s="16" t="str">
        <f t="shared" si="9"/>
        <v>181 à 240 dias</v>
      </c>
      <c r="J277" s="4">
        <v>1</v>
      </c>
      <c r="K277" s="5">
        <v>2044.03</v>
      </c>
      <c r="L277" s="6">
        <v>258.20999999999998</v>
      </c>
      <c r="M277" s="5">
        <v>2302.2399999999998</v>
      </c>
      <c r="N277" s="8">
        <v>29030.07</v>
      </c>
      <c r="O277" s="7">
        <v>162257.37</v>
      </c>
      <c r="P277" s="3" t="s">
        <v>0</v>
      </c>
      <c r="Q277" s="3" t="s">
        <v>5</v>
      </c>
    </row>
    <row r="278" spans="1:17" x14ac:dyDescent="0.25">
      <c r="A278" s="3" t="s">
        <v>1255</v>
      </c>
      <c r="B278" s="3" t="s">
        <v>1256</v>
      </c>
      <c r="C278" s="3" t="s">
        <v>37</v>
      </c>
      <c r="D278" s="3" t="s">
        <v>1257</v>
      </c>
      <c r="E278" s="3" t="s">
        <v>1258</v>
      </c>
      <c r="F278" s="3" t="s">
        <v>647</v>
      </c>
      <c r="G278" s="15">
        <v>46133</v>
      </c>
      <c r="H278" s="16">
        <f t="shared" si="8"/>
        <v>239</v>
      </c>
      <c r="I278" s="16" t="str">
        <f t="shared" si="9"/>
        <v>181 à 240 dias</v>
      </c>
      <c r="J278" s="4">
        <v>4</v>
      </c>
      <c r="K278" s="5">
        <v>2217.0100000000002</v>
      </c>
      <c r="L278" s="6">
        <v>119.57</v>
      </c>
      <c r="M278" s="5">
        <v>2336.58</v>
      </c>
      <c r="N278" s="5">
        <v>7524.8</v>
      </c>
      <c r="O278" s="7">
        <v>126807.85</v>
      </c>
      <c r="P278" s="3" t="s">
        <v>0</v>
      </c>
      <c r="Q278" s="3" t="s">
        <v>5</v>
      </c>
    </row>
    <row r="279" spans="1:17" x14ac:dyDescent="0.25">
      <c r="A279" s="3" t="s">
        <v>1259</v>
      </c>
      <c r="B279" s="3" t="s">
        <v>1260</v>
      </c>
      <c r="C279" s="3" t="s">
        <v>25</v>
      </c>
      <c r="D279" s="3" t="s">
        <v>1261</v>
      </c>
      <c r="E279" s="3" t="s">
        <v>247</v>
      </c>
      <c r="F279" s="3" t="s">
        <v>520</v>
      </c>
      <c r="G279" s="15">
        <v>46133</v>
      </c>
      <c r="H279" s="16">
        <f t="shared" si="8"/>
        <v>203</v>
      </c>
      <c r="I279" s="16" t="str">
        <f t="shared" si="9"/>
        <v>181 à 240 dias</v>
      </c>
      <c r="J279" s="4">
        <v>3</v>
      </c>
      <c r="K279" s="5">
        <v>5600.67</v>
      </c>
      <c r="L279" s="6">
        <v>306.17</v>
      </c>
      <c r="M279" s="5">
        <v>5906.84</v>
      </c>
      <c r="N279" s="8">
        <v>94394.73</v>
      </c>
      <c r="O279" s="8">
        <v>26136.46</v>
      </c>
      <c r="P279" s="3" t="s">
        <v>0</v>
      </c>
      <c r="Q279" s="3" t="s">
        <v>5</v>
      </c>
    </row>
    <row r="280" spans="1:17" x14ac:dyDescent="0.25">
      <c r="A280" s="3" t="s">
        <v>1262</v>
      </c>
      <c r="B280" s="3" t="s">
        <v>1263</v>
      </c>
      <c r="C280" s="3" t="s">
        <v>128</v>
      </c>
      <c r="D280" s="3" t="s">
        <v>1264</v>
      </c>
      <c r="E280" s="3" t="s">
        <v>1265</v>
      </c>
      <c r="F280" s="3" t="s">
        <v>368</v>
      </c>
      <c r="G280" s="15">
        <v>46133</v>
      </c>
      <c r="H280" s="16">
        <f t="shared" si="8"/>
        <v>193</v>
      </c>
      <c r="I280" s="16" t="str">
        <f t="shared" si="9"/>
        <v>181 à 240 dias</v>
      </c>
      <c r="J280" s="4">
        <v>6</v>
      </c>
      <c r="K280" s="8">
        <v>12445.44</v>
      </c>
      <c r="L280" s="6">
        <v>687.57</v>
      </c>
      <c r="M280" s="8">
        <v>13133.01</v>
      </c>
      <c r="N280" s="7">
        <v>121213.91</v>
      </c>
      <c r="O280" s="7">
        <v>279355.96000000002</v>
      </c>
      <c r="P280" s="3" t="s">
        <v>0</v>
      </c>
      <c r="Q280" s="3" t="s">
        <v>5</v>
      </c>
    </row>
    <row r="281" spans="1:17" x14ac:dyDescent="0.25">
      <c r="A281" s="3" t="s">
        <v>1266</v>
      </c>
      <c r="B281" s="3" t="s">
        <v>1267</v>
      </c>
      <c r="C281" s="3" t="s">
        <v>50</v>
      </c>
      <c r="D281" s="3" t="s">
        <v>1268</v>
      </c>
      <c r="E281" s="3" t="s">
        <v>1269</v>
      </c>
      <c r="F281" s="3" t="s">
        <v>647</v>
      </c>
      <c r="G281" s="15">
        <v>46133</v>
      </c>
      <c r="H281" s="16">
        <f t="shared" si="8"/>
        <v>239</v>
      </c>
      <c r="I281" s="16" t="str">
        <f t="shared" si="9"/>
        <v>181 à 240 dias</v>
      </c>
      <c r="J281" s="4">
        <v>7</v>
      </c>
      <c r="K281" s="5">
        <v>9739.64</v>
      </c>
      <c r="L281" s="6">
        <v>607.19000000000005</v>
      </c>
      <c r="M281" s="5">
        <v>10544.56</v>
      </c>
      <c r="N281" s="8">
        <v>10945.17</v>
      </c>
      <c r="O281" s="7">
        <v>327322.64</v>
      </c>
      <c r="P281" s="3" t="s">
        <v>0</v>
      </c>
      <c r="Q281" s="3" t="s">
        <v>5</v>
      </c>
    </row>
    <row r="282" spans="1:17" x14ac:dyDescent="0.25">
      <c r="A282" s="3" t="s">
        <v>1270</v>
      </c>
      <c r="B282" s="3" t="s">
        <v>1271</v>
      </c>
      <c r="C282" s="3" t="s">
        <v>128</v>
      </c>
      <c r="D282" s="3" t="s">
        <v>1272</v>
      </c>
      <c r="E282" s="3" t="s">
        <v>1273</v>
      </c>
      <c r="F282" s="3" t="s">
        <v>678</v>
      </c>
      <c r="G282" s="15">
        <v>46133</v>
      </c>
      <c r="H282" s="16">
        <f t="shared" si="8"/>
        <v>208</v>
      </c>
      <c r="I282" s="16" t="str">
        <f t="shared" si="9"/>
        <v>181 à 240 dias</v>
      </c>
      <c r="J282" s="4">
        <v>1</v>
      </c>
      <c r="K282" s="5">
        <v>4225.83</v>
      </c>
      <c r="L282" s="6">
        <v>377.81</v>
      </c>
      <c r="M282" s="5">
        <v>4603.6400000000003</v>
      </c>
      <c r="N282" s="7">
        <v>240822.79</v>
      </c>
      <c r="O282" s="7">
        <v>585805.93999999994</v>
      </c>
      <c r="P282" s="3" t="s">
        <v>0</v>
      </c>
      <c r="Q282" s="3" t="s">
        <v>6</v>
      </c>
    </row>
    <row r="283" spans="1:17" x14ac:dyDescent="0.25">
      <c r="A283" s="3" t="s">
        <v>1274</v>
      </c>
      <c r="B283" s="3" t="s">
        <v>1275</v>
      </c>
      <c r="C283" s="3" t="s">
        <v>128</v>
      </c>
      <c r="D283" s="3" t="s">
        <v>1276</v>
      </c>
      <c r="E283" s="3" t="s">
        <v>1277</v>
      </c>
      <c r="F283" s="3" t="s">
        <v>732</v>
      </c>
      <c r="G283" s="15">
        <v>46133</v>
      </c>
      <c r="H283" s="16">
        <f t="shared" si="8"/>
        <v>213</v>
      </c>
      <c r="I283" s="16" t="str">
        <f t="shared" si="9"/>
        <v>181 à 240 dias</v>
      </c>
      <c r="J283" s="11">
        <v>13</v>
      </c>
      <c r="K283" s="8">
        <v>15945.27</v>
      </c>
      <c r="L283" s="5">
        <v>1039.06</v>
      </c>
      <c r="M283" s="8">
        <v>16984.330000000002</v>
      </c>
      <c r="N283" s="7">
        <v>136978.82999999999</v>
      </c>
      <c r="O283" s="7">
        <v>173734.2</v>
      </c>
      <c r="P283" s="3" t="s">
        <v>0</v>
      </c>
      <c r="Q283" s="3" t="s">
        <v>6</v>
      </c>
    </row>
    <row r="284" spans="1:17" x14ac:dyDescent="0.25">
      <c r="A284" s="3" t="s">
        <v>1278</v>
      </c>
      <c r="B284" s="3" t="s">
        <v>1275</v>
      </c>
      <c r="C284" s="3" t="s">
        <v>128</v>
      </c>
      <c r="D284" s="3" t="s">
        <v>1279</v>
      </c>
      <c r="E284" s="3" t="s">
        <v>1280</v>
      </c>
      <c r="F284" s="3" t="s">
        <v>732</v>
      </c>
      <c r="G284" s="15">
        <v>46133</v>
      </c>
      <c r="H284" s="16">
        <f t="shared" si="8"/>
        <v>213</v>
      </c>
      <c r="I284" s="16" t="str">
        <f t="shared" si="9"/>
        <v>181 à 240 dias</v>
      </c>
      <c r="J284" s="11">
        <v>13</v>
      </c>
      <c r="K284" s="8">
        <v>19041.03</v>
      </c>
      <c r="L284" s="5">
        <v>1270.8</v>
      </c>
      <c r="M284" s="8">
        <v>20311.830000000002</v>
      </c>
      <c r="N284" s="7">
        <v>136134.26</v>
      </c>
      <c r="O284" s="7">
        <v>188213.88</v>
      </c>
      <c r="P284" s="3" t="s">
        <v>0</v>
      </c>
      <c r="Q284" s="3" t="s">
        <v>6</v>
      </c>
    </row>
    <row r="285" spans="1:17" x14ac:dyDescent="0.25">
      <c r="A285" s="3" t="s">
        <v>1281</v>
      </c>
      <c r="B285" s="3" t="s">
        <v>1282</v>
      </c>
      <c r="C285" s="3" t="s">
        <v>194</v>
      </c>
      <c r="D285" s="3" t="s">
        <v>1283</v>
      </c>
      <c r="E285" s="3" t="s">
        <v>139</v>
      </c>
      <c r="F285" s="3" t="s">
        <v>703</v>
      </c>
      <c r="G285" s="15">
        <v>46133</v>
      </c>
      <c r="H285" s="16">
        <f t="shared" si="8"/>
        <v>234</v>
      </c>
      <c r="I285" s="16" t="str">
        <f t="shared" si="9"/>
        <v>181 à 240 dias</v>
      </c>
      <c r="J285" s="4">
        <v>8</v>
      </c>
      <c r="K285" s="8">
        <v>28770.29</v>
      </c>
      <c r="L285" s="5">
        <v>1804.23</v>
      </c>
      <c r="M285" s="8">
        <v>30574.52</v>
      </c>
      <c r="N285" s="7">
        <v>132014.95000000001</v>
      </c>
      <c r="O285" s="7">
        <v>413797.01</v>
      </c>
      <c r="P285" s="3" t="s">
        <v>0</v>
      </c>
      <c r="Q285" s="3" t="s">
        <v>7</v>
      </c>
    </row>
    <row r="286" spans="1:17" x14ac:dyDescent="0.25">
      <c r="A286" s="3" t="s">
        <v>1284</v>
      </c>
      <c r="B286" s="3" t="s">
        <v>1282</v>
      </c>
      <c r="C286" s="3" t="s">
        <v>194</v>
      </c>
      <c r="D286" s="3" t="s">
        <v>1285</v>
      </c>
      <c r="E286" s="3" t="s">
        <v>139</v>
      </c>
      <c r="F286" s="3" t="s">
        <v>703</v>
      </c>
      <c r="G286" s="15">
        <v>46133</v>
      </c>
      <c r="H286" s="16">
        <f t="shared" si="8"/>
        <v>234</v>
      </c>
      <c r="I286" s="16" t="str">
        <f t="shared" si="9"/>
        <v>181 à 240 dias</v>
      </c>
      <c r="J286" s="4">
        <v>8</v>
      </c>
      <c r="K286" s="8">
        <v>28770.29</v>
      </c>
      <c r="L286" s="5">
        <v>1804.23</v>
      </c>
      <c r="M286" s="8">
        <v>30574.52</v>
      </c>
      <c r="N286" s="7">
        <v>132014.95000000001</v>
      </c>
      <c r="O286" s="7">
        <v>413797.01</v>
      </c>
      <c r="P286" s="3" t="s">
        <v>0</v>
      </c>
      <c r="Q286" s="3" t="s">
        <v>7</v>
      </c>
    </row>
    <row r="287" spans="1:17" x14ac:dyDescent="0.25">
      <c r="A287" s="3" t="s">
        <v>1286</v>
      </c>
      <c r="B287" s="3" t="s">
        <v>1287</v>
      </c>
      <c r="C287" s="3" t="s">
        <v>50</v>
      </c>
      <c r="D287" s="3" t="s">
        <v>1288</v>
      </c>
      <c r="E287" s="3" t="s">
        <v>1289</v>
      </c>
      <c r="F287" s="3" t="s">
        <v>368</v>
      </c>
      <c r="G287" s="15">
        <v>46133</v>
      </c>
      <c r="H287" s="16">
        <f t="shared" si="8"/>
        <v>193</v>
      </c>
      <c r="I287" s="16" t="str">
        <f t="shared" si="9"/>
        <v>181 à 240 dias</v>
      </c>
      <c r="J287" s="4">
        <v>7</v>
      </c>
      <c r="K287" s="8">
        <v>10931.62</v>
      </c>
      <c r="L287" s="6">
        <v>630.91999999999996</v>
      </c>
      <c r="M287" s="5">
        <v>11720.49</v>
      </c>
      <c r="N287" s="10">
        <v>0</v>
      </c>
      <c r="O287" s="7">
        <v>224879.04</v>
      </c>
      <c r="P287" s="3" t="s">
        <v>0</v>
      </c>
      <c r="Q287" s="3" t="s">
        <v>7</v>
      </c>
    </row>
    <row r="288" spans="1:17" x14ac:dyDescent="0.25">
      <c r="A288" s="3" t="s">
        <v>1521</v>
      </c>
      <c r="B288" s="3" t="s">
        <v>1522</v>
      </c>
      <c r="C288" s="3" t="s">
        <v>50</v>
      </c>
      <c r="D288" s="3" t="s">
        <v>1523</v>
      </c>
      <c r="E288" s="3" t="s">
        <v>1100</v>
      </c>
      <c r="F288" s="3" t="s">
        <v>1305</v>
      </c>
      <c r="G288" s="15">
        <v>46133</v>
      </c>
      <c r="H288" s="16">
        <f t="shared" si="8"/>
        <v>254</v>
      </c>
      <c r="I288" s="16" t="str">
        <f t="shared" si="9"/>
        <v>241 à 365 dias</v>
      </c>
      <c r="J288" s="4">
        <v>7</v>
      </c>
      <c r="K288" s="8">
        <v>16501.73</v>
      </c>
      <c r="L288" s="6">
        <v>952.77</v>
      </c>
      <c r="M288" s="5">
        <v>17665.990000000002</v>
      </c>
      <c r="N288" s="8">
        <v>62570.23</v>
      </c>
      <c r="O288" s="7">
        <v>216879.88</v>
      </c>
      <c r="P288" s="3" t="s">
        <v>0</v>
      </c>
      <c r="Q288" s="3" t="s">
        <v>5</v>
      </c>
    </row>
    <row r="289" spans="1:17" x14ac:dyDescent="0.25">
      <c r="A289" s="3" t="s">
        <v>1524</v>
      </c>
      <c r="B289" s="3" t="s">
        <v>1522</v>
      </c>
      <c r="C289" s="3" t="s">
        <v>50</v>
      </c>
      <c r="D289" s="3" t="s">
        <v>1525</v>
      </c>
      <c r="E289" s="3" t="s">
        <v>1100</v>
      </c>
      <c r="F289" s="3" t="s">
        <v>1297</v>
      </c>
      <c r="G289" s="15">
        <v>46133</v>
      </c>
      <c r="H289" s="16">
        <f t="shared" si="8"/>
        <v>331</v>
      </c>
      <c r="I289" s="16" t="str">
        <f t="shared" si="9"/>
        <v>241 à 365 dias</v>
      </c>
      <c r="J289" s="11">
        <v>10</v>
      </c>
      <c r="K289" s="8">
        <v>24092.84</v>
      </c>
      <c r="L289" s="5">
        <v>1837.7</v>
      </c>
      <c r="M289" s="5">
        <v>26120.400000000001</v>
      </c>
      <c r="N289" s="8">
        <v>55704.24</v>
      </c>
      <c r="O289" s="7">
        <v>228661.49</v>
      </c>
      <c r="P289" s="3" t="s">
        <v>0</v>
      </c>
      <c r="Q289" s="3" t="s">
        <v>5</v>
      </c>
    </row>
    <row r="290" spans="1:17" x14ac:dyDescent="0.25">
      <c r="A290" s="3" t="s">
        <v>1526</v>
      </c>
      <c r="B290" s="3" t="s">
        <v>1527</v>
      </c>
      <c r="C290" s="3" t="s">
        <v>37</v>
      </c>
      <c r="D290" s="3" t="s">
        <v>1528</v>
      </c>
      <c r="E290" s="3" t="s">
        <v>1529</v>
      </c>
      <c r="F290" s="3" t="s">
        <v>1305</v>
      </c>
      <c r="G290" s="15">
        <v>46133</v>
      </c>
      <c r="H290" s="16">
        <f t="shared" si="8"/>
        <v>254</v>
      </c>
      <c r="I290" s="16" t="str">
        <f t="shared" si="9"/>
        <v>241 à 365 dias</v>
      </c>
      <c r="J290" s="4">
        <v>7</v>
      </c>
      <c r="K290" s="5">
        <v>3843.56</v>
      </c>
      <c r="L290" s="6">
        <v>221.67</v>
      </c>
      <c r="M290" s="5">
        <v>4065.23</v>
      </c>
      <c r="N290" s="5">
        <v>6530.93</v>
      </c>
      <c r="O290" s="7">
        <v>125190.24</v>
      </c>
      <c r="P290" s="3" t="s">
        <v>0</v>
      </c>
      <c r="Q290" s="3" t="s">
        <v>5</v>
      </c>
    </row>
    <row r="291" spans="1:17" x14ac:dyDescent="0.25">
      <c r="A291" s="3" t="s">
        <v>1530</v>
      </c>
      <c r="B291" s="3" t="s">
        <v>1531</v>
      </c>
      <c r="C291" s="3" t="s">
        <v>128</v>
      </c>
      <c r="D291" s="3" t="s">
        <v>1532</v>
      </c>
      <c r="E291" s="3" t="s">
        <v>1533</v>
      </c>
      <c r="F291" s="3" t="s">
        <v>1317</v>
      </c>
      <c r="G291" s="15">
        <v>46133</v>
      </c>
      <c r="H291" s="16">
        <f t="shared" si="8"/>
        <v>270</v>
      </c>
      <c r="I291" s="16" t="str">
        <f t="shared" si="9"/>
        <v>241 à 365 dias</v>
      </c>
      <c r="J291" s="4">
        <v>2</v>
      </c>
      <c r="K291" s="5">
        <v>4343.5</v>
      </c>
      <c r="L291" s="6">
        <v>319.68</v>
      </c>
      <c r="M291" s="5">
        <v>4663.18</v>
      </c>
      <c r="N291" s="7">
        <v>146452.14000000001</v>
      </c>
      <c r="O291" s="7">
        <v>267914.38</v>
      </c>
      <c r="P291" s="3" t="s">
        <v>0</v>
      </c>
      <c r="Q291" s="3" t="s">
        <v>5</v>
      </c>
    </row>
    <row r="292" spans="1:17" x14ac:dyDescent="0.25">
      <c r="A292" s="3" t="s">
        <v>1534</v>
      </c>
      <c r="B292" s="3" t="s">
        <v>1535</v>
      </c>
      <c r="C292" s="3" t="s">
        <v>94</v>
      </c>
      <c r="D292" s="3" t="s">
        <v>1536</v>
      </c>
      <c r="E292" s="3" t="s">
        <v>173</v>
      </c>
      <c r="F292" s="3" t="s">
        <v>1449</v>
      </c>
      <c r="G292" s="15">
        <v>46133</v>
      </c>
      <c r="H292" s="16">
        <f t="shared" si="8"/>
        <v>244</v>
      </c>
      <c r="I292" s="16" t="str">
        <f t="shared" si="9"/>
        <v>241 à 365 dias</v>
      </c>
      <c r="J292" s="4">
        <v>2</v>
      </c>
      <c r="K292" s="5">
        <v>1538.24</v>
      </c>
      <c r="L292" s="9">
        <v>95.22</v>
      </c>
      <c r="M292" s="5">
        <v>1633.46</v>
      </c>
      <c r="N292" s="5">
        <v>8460.32</v>
      </c>
      <c r="O292" s="7">
        <v>129981.28</v>
      </c>
      <c r="P292" s="3" t="s">
        <v>0</v>
      </c>
      <c r="Q292" s="3" t="s">
        <v>5</v>
      </c>
    </row>
    <row r="293" spans="1:17" x14ac:dyDescent="0.25">
      <c r="A293" s="3" t="s">
        <v>1537</v>
      </c>
      <c r="B293" s="3" t="s">
        <v>1538</v>
      </c>
      <c r="C293" s="3" t="s">
        <v>50</v>
      </c>
      <c r="D293" s="3" t="s">
        <v>1539</v>
      </c>
      <c r="E293" s="3" t="s">
        <v>270</v>
      </c>
      <c r="F293" s="3" t="s">
        <v>1317</v>
      </c>
      <c r="G293" s="15">
        <v>46133</v>
      </c>
      <c r="H293" s="16">
        <f t="shared" si="8"/>
        <v>270</v>
      </c>
      <c r="I293" s="16" t="str">
        <f t="shared" si="9"/>
        <v>241 à 365 dias</v>
      </c>
      <c r="J293" s="4">
        <v>9</v>
      </c>
      <c r="K293" s="8">
        <v>15473.97</v>
      </c>
      <c r="L293" s="5">
        <v>1085.04</v>
      </c>
      <c r="M293" s="5">
        <v>16624.89</v>
      </c>
      <c r="N293" s="8">
        <v>44965.72</v>
      </c>
      <c r="O293" s="7">
        <v>120353.1</v>
      </c>
      <c r="P293" s="3" t="s">
        <v>0</v>
      </c>
      <c r="Q293" s="3" t="s">
        <v>5</v>
      </c>
    </row>
    <row r="294" spans="1:17" x14ac:dyDescent="0.25">
      <c r="A294" s="3" t="s">
        <v>1540</v>
      </c>
      <c r="B294" s="3" t="s">
        <v>1541</v>
      </c>
      <c r="C294" s="3" t="s">
        <v>31</v>
      </c>
      <c r="D294" s="3" t="s">
        <v>1542</v>
      </c>
      <c r="E294" s="3" t="s">
        <v>813</v>
      </c>
      <c r="F294" s="3" t="s">
        <v>1449</v>
      </c>
      <c r="G294" s="15">
        <v>46133</v>
      </c>
      <c r="H294" s="16">
        <f t="shared" si="8"/>
        <v>244</v>
      </c>
      <c r="I294" s="16" t="str">
        <f t="shared" si="9"/>
        <v>241 à 365 dias</v>
      </c>
      <c r="J294" s="4">
        <v>3</v>
      </c>
      <c r="K294" s="5">
        <v>2985.41</v>
      </c>
      <c r="L294" s="6">
        <v>211.16</v>
      </c>
      <c r="M294" s="5">
        <v>3196.57</v>
      </c>
      <c r="N294" s="8">
        <v>70358.09</v>
      </c>
      <c r="O294" s="7">
        <v>240732.63</v>
      </c>
      <c r="P294" s="3" t="s">
        <v>0</v>
      </c>
      <c r="Q294" s="3" t="s">
        <v>5</v>
      </c>
    </row>
    <row r="295" spans="1:17" x14ac:dyDescent="0.25">
      <c r="A295" s="3" t="s">
        <v>1543</v>
      </c>
      <c r="B295" s="3" t="s">
        <v>1541</v>
      </c>
      <c r="C295" s="3" t="s">
        <v>31</v>
      </c>
      <c r="D295" s="3" t="s">
        <v>1544</v>
      </c>
      <c r="E295" s="3" t="s">
        <v>813</v>
      </c>
      <c r="F295" s="3" t="s">
        <v>1449</v>
      </c>
      <c r="G295" s="15">
        <v>46133</v>
      </c>
      <c r="H295" s="16">
        <f t="shared" si="8"/>
        <v>244</v>
      </c>
      <c r="I295" s="16" t="str">
        <f t="shared" si="9"/>
        <v>241 à 365 dias</v>
      </c>
      <c r="J295" s="4">
        <v>3</v>
      </c>
      <c r="K295" s="5">
        <v>3129.44</v>
      </c>
      <c r="L295" s="6">
        <v>221.33</v>
      </c>
      <c r="M295" s="5">
        <v>3350.77</v>
      </c>
      <c r="N295" s="8">
        <v>70862.2</v>
      </c>
      <c r="O295" s="7">
        <v>248087.6</v>
      </c>
      <c r="P295" s="3" t="s">
        <v>0</v>
      </c>
      <c r="Q295" s="3" t="s">
        <v>5</v>
      </c>
    </row>
    <row r="296" spans="1:17" x14ac:dyDescent="0.25">
      <c r="A296" s="3" t="s">
        <v>1545</v>
      </c>
      <c r="B296" s="3" t="s">
        <v>1546</v>
      </c>
      <c r="C296" s="3" t="s">
        <v>128</v>
      </c>
      <c r="D296" s="3" t="s">
        <v>1547</v>
      </c>
      <c r="E296" s="3" t="s">
        <v>1548</v>
      </c>
      <c r="F296" s="3" t="s">
        <v>1549</v>
      </c>
      <c r="G296" s="15">
        <v>46133</v>
      </c>
      <c r="H296" s="16">
        <f t="shared" si="8"/>
        <v>295</v>
      </c>
      <c r="I296" s="16" t="str">
        <f t="shared" si="9"/>
        <v>241 à 365 dias</v>
      </c>
      <c r="J296" s="11">
        <v>14</v>
      </c>
      <c r="K296" s="8">
        <v>32768.410000000003</v>
      </c>
      <c r="L296" s="5">
        <v>2492.5700000000002</v>
      </c>
      <c r="M296" s="8">
        <v>35260.980000000003</v>
      </c>
      <c r="N296" s="7">
        <v>179013.14</v>
      </c>
      <c r="O296" s="8">
        <v>57667.71</v>
      </c>
      <c r="P296" s="3" t="s">
        <v>0</v>
      </c>
      <c r="Q296" s="3" t="s">
        <v>5</v>
      </c>
    </row>
    <row r="297" spans="1:17" x14ac:dyDescent="0.25">
      <c r="A297" s="3" t="s">
        <v>1550</v>
      </c>
      <c r="B297" s="3" t="s">
        <v>1551</v>
      </c>
      <c r="C297" s="3" t="s">
        <v>25</v>
      </c>
      <c r="D297" s="3" t="s">
        <v>1552</v>
      </c>
      <c r="E297" s="3" t="s">
        <v>1553</v>
      </c>
      <c r="F297" s="3" t="s">
        <v>1554</v>
      </c>
      <c r="G297" s="15">
        <v>46133</v>
      </c>
      <c r="H297" s="16">
        <f t="shared" si="8"/>
        <v>303</v>
      </c>
      <c r="I297" s="16" t="str">
        <f t="shared" si="9"/>
        <v>241 à 365 dias</v>
      </c>
      <c r="J297" s="4">
        <v>5</v>
      </c>
      <c r="K297" s="5">
        <v>7441.4</v>
      </c>
      <c r="L297" s="6">
        <v>560.54</v>
      </c>
      <c r="M297" s="5">
        <v>8001.94</v>
      </c>
      <c r="N297" s="8">
        <v>77384.92</v>
      </c>
      <c r="O297" s="8">
        <v>19344.599999999999</v>
      </c>
      <c r="P297" s="3" t="s">
        <v>0</v>
      </c>
      <c r="Q297" s="3" t="s">
        <v>5</v>
      </c>
    </row>
    <row r="298" spans="1:17" x14ac:dyDescent="0.25">
      <c r="A298" s="3" t="s">
        <v>1555</v>
      </c>
      <c r="B298" s="3" t="s">
        <v>1556</v>
      </c>
      <c r="C298" s="3" t="s">
        <v>31</v>
      </c>
      <c r="D298" s="3" t="s">
        <v>1557</v>
      </c>
      <c r="E298" s="3" t="s">
        <v>524</v>
      </c>
      <c r="F298" s="3" t="s">
        <v>1449</v>
      </c>
      <c r="G298" s="15">
        <v>46133</v>
      </c>
      <c r="H298" s="16">
        <f t="shared" si="8"/>
        <v>244</v>
      </c>
      <c r="I298" s="16" t="str">
        <f t="shared" si="9"/>
        <v>241 à 365 dias</v>
      </c>
      <c r="J298" s="4">
        <v>1</v>
      </c>
      <c r="K298" s="6">
        <v>459.16</v>
      </c>
      <c r="L298" s="9">
        <v>46.53</v>
      </c>
      <c r="M298" s="6">
        <v>505.69</v>
      </c>
      <c r="N298" s="7">
        <v>204363.34</v>
      </c>
      <c r="O298" s="6">
        <v>459.16</v>
      </c>
      <c r="P298" s="3" t="s">
        <v>0</v>
      </c>
      <c r="Q298" s="3" t="s">
        <v>5</v>
      </c>
    </row>
    <row r="299" spans="1:17" x14ac:dyDescent="0.25">
      <c r="A299" s="3" t="s">
        <v>1558</v>
      </c>
      <c r="B299" s="3" t="s">
        <v>1559</v>
      </c>
      <c r="C299" s="3" t="s">
        <v>37</v>
      </c>
      <c r="D299" s="3" t="s">
        <v>1560</v>
      </c>
      <c r="E299" s="3" t="s">
        <v>1561</v>
      </c>
      <c r="F299" s="3" t="s">
        <v>1335</v>
      </c>
      <c r="G299" s="15">
        <v>46133</v>
      </c>
      <c r="H299" s="16">
        <f t="shared" si="8"/>
        <v>310</v>
      </c>
      <c r="I299" s="16" t="str">
        <f t="shared" si="9"/>
        <v>241 à 365 dias</v>
      </c>
      <c r="J299" s="4">
        <v>2</v>
      </c>
      <c r="K299" s="5">
        <v>1417.14</v>
      </c>
      <c r="L299" s="6">
        <v>135.97999999999999</v>
      </c>
      <c r="M299" s="5">
        <v>1553.12</v>
      </c>
      <c r="N299" s="8">
        <v>16545.77</v>
      </c>
      <c r="O299" s="7">
        <v>153432.89000000001</v>
      </c>
      <c r="P299" s="3" t="s">
        <v>0</v>
      </c>
      <c r="Q299" s="3" t="s">
        <v>5</v>
      </c>
    </row>
    <row r="300" spans="1:17" x14ac:dyDescent="0.25">
      <c r="A300" s="3" t="s">
        <v>1562</v>
      </c>
      <c r="B300" s="3" t="s">
        <v>1563</v>
      </c>
      <c r="C300" s="3" t="s">
        <v>50</v>
      </c>
      <c r="D300" s="3" t="s">
        <v>1564</v>
      </c>
      <c r="E300" s="3" t="s">
        <v>1565</v>
      </c>
      <c r="F300" s="3" t="s">
        <v>1293</v>
      </c>
      <c r="G300" s="15">
        <v>46133</v>
      </c>
      <c r="H300" s="16">
        <f t="shared" si="8"/>
        <v>275</v>
      </c>
      <c r="I300" s="16" t="str">
        <f t="shared" si="9"/>
        <v>241 à 365 dias</v>
      </c>
      <c r="J300" s="4">
        <v>2</v>
      </c>
      <c r="K300" s="5">
        <v>4898.1400000000003</v>
      </c>
      <c r="L300" s="6">
        <v>537.96</v>
      </c>
      <c r="M300" s="5">
        <v>5436.1</v>
      </c>
      <c r="N300" s="7">
        <v>118922.27</v>
      </c>
      <c r="O300" s="5">
        <v>4898.1400000000003</v>
      </c>
      <c r="P300" s="3" t="s">
        <v>0</v>
      </c>
      <c r="Q300" s="3" t="s">
        <v>5</v>
      </c>
    </row>
    <row r="301" spans="1:17" x14ac:dyDescent="0.25">
      <c r="A301" s="3" t="s">
        <v>1566</v>
      </c>
      <c r="B301" s="3" t="s">
        <v>1567</v>
      </c>
      <c r="C301" s="3" t="s">
        <v>37</v>
      </c>
      <c r="D301" s="3" t="s">
        <v>1568</v>
      </c>
      <c r="E301" s="3" t="s">
        <v>295</v>
      </c>
      <c r="F301" s="3" t="s">
        <v>1449</v>
      </c>
      <c r="G301" s="15">
        <v>46133</v>
      </c>
      <c r="H301" s="16">
        <f t="shared" si="8"/>
        <v>244</v>
      </c>
      <c r="I301" s="16" t="str">
        <f t="shared" si="9"/>
        <v>241 à 365 dias</v>
      </c>
      <c r="J301" s="4">
        <v>5</v>
      </c>
      <c r="K301" s="5">
        <v>2278.6</v>
      </c>
      <c r="L301" s="6">
        <v>136.61000000000001</v>
      </c>
      <c r="M301" s="5">
        <v>2415.21</v>
      </c>
      <c r="N301" s="8">
        <v>21838.45</v>
      </c>
      <c r="O301" s="8">
        <v>92511.16</v>
      </c>
      <c r="P301" s="3" t="s">
        <v>0</v>
      </c>
      <c r="Q301" s="3" t="s">
        <v>5</v>
      </c>
    </row>
    <row r="302" spans="1:17" x14ac:dyDescent="0.25">
      <c r="A302" s="3" t="s">
        <v>1569</v>
      </c>
      <c r="B302" s="3" t="s">
        <v>1570</v>
      </c>
      <c r="C302" s="3" t="s">
        <v>759</v>
      </c>
      <c r="D302" s="3" t="s">
        <v>1571</v>
      </c>
      <c r="E302" s="3" t="s">
        <v>1572</v>
      </c>
      <c r="F302" s="3" t="s">
        <v>1305</v>
      </c>
      <c r="G302" s="15">
        <v>46133</v>
      </c>
      <c r="H302" s="16">
        <f t="shared" si="8"/>
        <v>254</v>
      </c>
      <c r="I302" s="16" t="str">
        <f t="shared" si="9"/>
        <v>241 à 365 dias</v>
      </c>
      <c r="J302" s="4">
        <v>9</v>
      </c>
      <c r="K302" s="5">
        <v>8052.21</v>
      </c>
      <c r="L302" s="6">
        <v>518.07000000000005</v>
      </c>
      <c r="M302" s="5">
        <v>8570.2800000000007</v>
      </c>
      <c r="N302" s="8">
        <v>85301.05</v>
      </c>
      <c r="O302" s="7">
        <v>116309.7</v>
      </c>
      <c r="P302" s="3" t="s">
        <v>0</v>
      </c>
      <c r="Q302" s="3" t="s">
        <v>5</v>
      </c>
    </row>
    <row r="303" spans="1:17" x14ac:dyDescent="0.25">
      <c r="A303" s="3" t="s">
        <v>1573</v>
      </c>
      <c r="B303" s="3" t="s">
        <v>1574</v>
      </c>
      <c r="C303" s="3" t="s">
        <v>128</v>
      </c>
      <c r="D303" s="3" t="s">
        <v>1575</v>
      </c>
      <c r="E303" s="3" t="s">
        <v>1576</v>
      </c>
      <c r="F303" s="3" t="s">
        <v>660</v>
      </c>
      <c r="G303" s="15">
        <v>46133</v>
      </c>
      <c r="H303" s="16">
        <f t="shared" si="8"/>
        <v>325</v>
      </c>
      <c r="I303" s="16" t="str">
        <f t="shared" si="9"/>
        <v>241 à 365 dias</v>
      </c>
      <c r="J303" s="4">
        <v>7</v>
      </c>
      <c r="K303" s="8">
        <v>14648.48</v>
      </c>
      <c r="L303" s="5">
        <v>1323.58</v>
      </c>
      <c r="M303" s="8">
        <v>15972.06</v>
      </c>
      <c r="N303" s="7">
        <v>145585.23000000001</v>
      </c>
      <c r="O303" s="7">
        <v>108817.28</v>
      </c>
      <c r="P303" s="3" t="s">
        <v>0</v>
      </c>
      <c r="Q303" s="3" t="s">
        <v>5</v>
      </c>
    </row>
    <row r="304" spans="1:17" x14ac:dyDescent="0.25">
      <c r="A304" s="3" t="s">
        <v>1577</v>
      </c>
      <c r="B304" s="3" t="s">
        <v>1578</v>
      </c>
      <c r="C304" s="3" t="s">
        <v>194</v>
      </c>
      <c r="D304" s="3" t="s">
        <v>1579</v>
      </c>
      <c r="E304" s="3" t="s">
        <v>1580</v>
      </c>
      <c r="F304" s="3" t="s">
        <v>91</v>
      </c>
      <c r="G304" s="15">
        <v>46133</v>
      </c>
      <c r="H304" s="16">
        <f t="shared" si="8"/>
        <v>257</v>
      </c>
      <c r="I304" s="16" t="str">
        <f t="shared" si="9"/>
        <v>241 à 365 dias</v>
      </c>
      <c r="J304" s="4">
        <v>4</v>
      </c>
      <c r="K304" s="8">
        <v>11585.33</v>
      </c>
      <c r="L304" s="6">
        <v>650.09</v>
      </c>
      <c r="M304" s="8">
        <v>12235.42</v>
      </c>
      <c r="N304" s="7">
        <v>154562.82</v>
      </c>
      <c r="O304" s="7">
        <v>406150.93</v>
      </c>
      <c r="P304" s="3" t="s">
        <v>0</v>
      </c>
      <c r="Q304" s="3" t="s">
        <v>5</v>
      </c>
    </row>
    <row r="305" spans="1:17" x14ac:dyDescent="0.25">
      <c r="A305" s="3" t="s">
        <v>1581</v>
      </c>
      <c r="B305" s="3" t="s">
        <v>1582</v>
      </c>
      <c r="C305" s="3" t="s">
        <v>50</v>
      </c>
      <c r="D305" s="3" t="s">
        <v>1583</v>
      </c>
      <c r="E305" s="3" t="s">
        <v>1584</v>
      </c>
      <c r="F305" s="3" t="s">
        <v>1293</v>
      </c>
      <c r="G305" s="15">
        <v>46133</v>
      </c>
      <c r="H305" s="16">
        <f t="shared" si="8"/>
        <v>275</v>
      </c>
      <c r="I305" s="16" t="str">
        <f t="shared" si="9"/>
        <v>241 à 365 dias</v>
      </c>
      <c r="J305" s="4">
        <v>5</v>
      </c>
      <c r="K305" s="5">
        <v>5764.05</v>
      </c>
      <c r="L305" s="6">
        <v>327.67</v>
      </c>
      <c r="M305" s="5">
        <v>6168.74</v>
      </c>
      <c r="N305" s="5">
        <v>9027.35</v>
      </c>
      <c r="O305" s="7">
        <v>272114.5</v>
      </c>
      <c r="P305" s="3" t="s">
        <v>0</v>
      </c>
      <c r="Q305" s="3" t="s">
        <v>5</v>
      </c>
    </row>
    <row r="306" spans="1:17" x14ac:dyDescent="0.25">
      <c r="A306" s="3" t="s">
        <v>1585</v>
      </c>
      <c r="B306" s="3" t="s">
        <v>1586</v>
      </c>
      <c r="C306" s="3" t="s">
        <v>349</v>
      </c>
      <c r="D306" s="3" t="s">
        <v>1587</v>
      </c>
      <c r="E306" s="3" t="s">
        <v>1588</v>
      </c>
      <c r="F306" s="3" t="s">
        <v>1309</v>
      </c>
      <c r="G306" s="15">
        <v>46133</v>
      </c>
      <c r="H306" s="16">
        <f t="shared" si="8"/>
        <v>315</v>
      </c>
      <c r="I306" s="16" t="str">
        <f t="shared" si="9"/>
        <v>241 à 365 dias</v>
      </c>
      <c r="J306" s="4">
        <v>1</v>
      </c>
      <c r="K306" s="5">
        <v>4889.46</v>
      </c>
      <c r="L306" s="6">
        <v>620.24</v>
      </c>
      <c r="M306" s="5">
        <v>5509.7</v>
      </c>
      <c r="N306" s="7">
        <v>194381.61</v>
      </c>
      <c r="O306" s="8">
        <v>31422.91</v>
      </c>
      <c r="P306" s="3" t="s">
        <v>0</v>
      </c>
      <c r="Q306" s="3" t="s">
        <v>5</v>
      </c>
    </row>
    <row r="307" spans="1:17" x14ac:dyDescent="0.25">
      <c r="A307" s="3" t="s">
        <v>1589</v>
      </c>
      <c r="B307" s="3" t="s">
        <v>1590</v>
      </c>
      <c r="C307" s="3" t="s">
        <v>25</v>
      </c>
      <c r="D307" s="3" t="s">
        <v>1591</v>
      </c>
      <c r="E307" s="3" t="s">
        <v>1592</v>
      </c>
      <c r="F307" s="3" t="s">
        <v>1317</v>
      </c>
      <c r="G307" s="15">
        <v>46133</v>
      </c>
      <c r="H307" s="16">
        <f t="shared" si="8"/>
        <v>270</v>
      </c>
      <c r="I307" s="16" t="str">
        <f t="shared" si="9"/>
        <v>241 à 365 dias</v>
      </c>
      <c r="J307" s="4">
        <v>6</v>
      </c>
      <c r="K307" s="5">
        <v>7715.04</v>
      </c>
      <c r="L307" s="6">
        <v>489.16</v>
      </c>
      <c r="M307" s="5">
        <v>8204.2000000000007</v>
      </c>
      <c r="N307" s="8">
        <v>73774.75</v>
      </c>
      <c r="O307" s="8">
        <v>20931.580000000002</v>
      </c>
      <c r="P307" s="3" t="s">
        <v>0</v>
      </c>
      <c r="Q307" s="3" t="s">
        <v>5</v>
      </c>
    </row>
    <row r="308" spans="1:17" x14ac:dyDescent="0.25">
      <c r="A308" s="3" t="s">
        <v>1593</v>
      </c>
      <c r="B308" s="3" t="s">
        <v>1594</v>
      </c>
      <c r="C308" s="3" t="s">
        <v>128</v>
      </c>
      <c r="D308" s="3" t="s">
        <v>1595</v>
      </c>
      <c r="E308" s="3" t="s">
        <v>1596</v>
      </c>
      <c r="F308" s="3" t="s">
        <v>1549</v>
      </c>
      <c r="G308" s="15">
        <v>46133</v>
      </c>
      <c r="H308" s="16">
        <f t="shared" si="8"/>
        <v>295</v>
      </c>
      <c r="I308" s="16" t="str">
        <f t="shared" si="9"/>
        <v>241 à 365 dias</v>
      </c>
      <c r="J308" s="4">
        <v>2</v>
      </c>
      <c r="K308" s="5">
        <v>3030.55</v>
      </c>
      <c r="L308" s="6">
        <v>362.54</v>
      </c>
      <c r="M308" s="5">
        <v>3393.09</v>
      </c>
      <c r="N308" s="8">
        <v>77755.600000000006</v>
      </c>
      <c r="O308" s="7">
        <v>243446.77</v>
      </c>
      <c r="P308" s="3" t="s">
        <v>0</v>
      </c>
      <c r="Q308" s="3" t="s">
        <v>5</v>
      </c>
    </row>
    <row r="309" spans="1:17" x14ac:dyDescent="0.25">
      <c r="A309" s="3" t="s">
        <v>1597</v>
      </c>
      <c r="B309" s="3" t="s">
        <v>1598</v>
      </c>
      <c r="C309" s="3" t="s">
        <v>128</v>
      </c>
      <c r="D309" s="3" t="s">
        <v>1599</v>
      </c>
      <c r="E309" s="3" t="s">
        <v>1600</v>
      </c>
      <c r="F309" s="3" t="s">
        <v>1305</v>
      </c>
      <c r="G309" s="15">
        <v>46133</v>
      </c>
      <c r="H309" s="16">
        <f t="shared" si="8"/>
        <v>254</v>
      </c>
      <c r="I309" s="16" t="str">
        <f t="shared" si="9"/>
        <v>241 à 365 dias</v>
      </c>
      <c r="J309" s="4">
        <v>2</v>
      </c>
      <c r="K309" s="5">
        <v>5002.05</v>
      </c>
      <c r="L309" s="6">
        <v>316.60000000000002</v>
      </c>
      <c r="M309" s="5">
        <v>5318.65</v>
      </c>
      <c r="N309" s="7">
        <v>206360.41</v>
      </c>
      <c r="O309" s="8">
        <v>28195.14</v>
      </c>
      <c r="P309" s="3" t="s">
        <v>0</v>
      </c>
      <c r="Q309" s="3" t="s">
        <v>5</v>
      </c>
    </row>
    <row r="310" spans="1:17" x14ac:dyDescent="0.25">
      <c r="A310" s="3" t="s">
        <v>1601</v>
      </c>
      <c r="B310" s="3" t="s">
        <v>1602</v>
      </c>
      <c r="C310" s="3" t="s">
        <v>128</v>
      </c>
      <c r="D310" s="3" t="s">
        <v>1603</v>
      </c>
      <c r="E310" s="3" t="s">
        <v>1604</v>
      </c>
      <c r="F310" s="3" t="s">
        <v>1449</v>
      </c>
      <c r="G310" s="15">
        <v>46133</v>
      </c>
      <c r="H310" s="16">
        <f t="shared" si="8"/>
        <v>244</v>
      </c>
      <c r="I310" s="16" t="str">
        <f t="shared" si="9"/>
        <v>241 à 365 dias</v>
      </c>
      <c r="J310" s="4">
        <v>5</v>
      </c>
      <c r="K310" s="5">
        <v>7643.81</v>
      </c>
      <c r="L310" s="6">
        <v>490.2</v>
      </c>
      <c r="M310" s="5">
        <v>8134.01</v>
      </c>
      <c r="N310" s="7">
        <v>148069.10999999999</v>
      </c>
      <c r="O310" s="8">
        <v>96565.52</v>
      </c>
      <c r="P310" s="3" t="s">
        <v>0</v>
      </c>
      <c r="Q310" s="3" t="s">
        <v>5</v>
      </c>
    </row>
    <row r="311" spans="1:17" x14ac:dyDescent="0.25">
      <c r="A311" s="3" t="s">
        <v>752</v>
      </c>
      <c r="B311" s="3" t="s">
        <v>1605</v>
      </c>
      <c r="C311" s="3" t="s">
        <v>25</v>
      </c>
      <c r="D311" s="3" t="s">
        <v>1606</v>
      </c>
      <c r="E311" s="3" t="s">
        <v>1607</v>
      </c>
      <c r="F311" s="3" t="s">
        <v>1549</v>
      </c>
      <c r="G311" s="15">
        <v>46133</v>
      </c>
      <c r="H311" s="16">
        <f t="shared" si="8"/>
        <v>295</v>
      </c>
      <c r="I311" s="16" t="str">
        <f t="shared" si="9"/>
        <v>241 à 365 dias</v>
      </c>
      <c r="J311" s="11">
        <v>10</v>
      </c>
      <c r="K311" s="5">
        <v>3162.56</v>
      </c>
      <c r="L311" s="6">
        <v>265.26</v>
      </c>
      <c r="M311" s="5">
        <v>3427.82</v>
      </c>
      <c r="N311" s="7">
        <v>157035.01</v>
      </c>
      <c r="O311" s="7">
        <v>170227.84</v>
      </c>
      <c r="P311" s="3" t="s">
        <v>0</v>
      </c>
      <c r="Q311" s="3" t="s">
        <v>5</v>
      </c>
    </row>
    <row r="312" spans="1:17" x14ac:dyDescent="0.25">
      <c r="A312" s="3" t="s">
        <v>1608</v>
      </c>
      <c r="B312" s="3" t="s">
        <v>1609</v>
      </c>
      <c r="C312" s="3" t="s">
        <v>50</v>
      </c>
      <c r="D312" s="3" t="s">
        <v>1610</v>
      </c>
      <c r="E312" s="3" t="s">
        <v>1611</v>
      </c>
      <c r="F312" s="3" t="s">
        <v>1309</v>
      </c>
      <c r="G312" s="15">
        <v>46133</v>
      </c>
      <c r="H312" s="16">
        <f t="shared" si="8"/>
        <v>315</v>
      </c>
      <c r="I312" s="16" t="str">
        <f t="shared" si="9"/>
        <v>241 à 365 dias</v>
      </c>
      <c r="J312" s="11">
        <v>31</v>
      </c>
      <c r="K312" s="8">
        <v>21401.14</v>
      </c>
      <c r="L312" s="5">
        <v>1604.46</v>
      </c>
      <c r="M312" s="5">
        <v>23235.25</v>
      </c>
      <c r="N312" s="8">
        <v>30996.38</v>
      </c>
      <c r="O312" s="7">
        <v>131671.28</v>
      </c>
      <c r="P312" s="3" t="s">
        <v>0</v>
      </c>
      <c r="Q312" s="3" t="s">
        <v>5</v>
      </c>
    </row>
    <row r="313" spans="1:17" x14ac:dyDescent="0.25">
      <c r="A313" s="3" t="s">
        <v>1612</v>
      </c>
      <c r="B313" s="3" t="s">
        <v>1613</v>
      </c>
      <c r="C313" s="3" t="s">
        <v>164</v>
      </c>
      <c r="D313" s="3" t="s">
        <v>1614</v>
      </c>
      <c r="E313" s="3" t="s">
        <v>668</v>
      </c>
      <c r="F313" s="3" t="s">
        <v>857</v>
      </c>
      <c r="G313" s="15">
        <v>46133</v>
      </c>
      <c r="H313" s="16">
        <f t="shared" si="8"/>
        <v>361</v>
      </c>
      <c r="I313" s="16" t="str">
        <f t="shared" si="9"/>
        <v>241 à 365 dias</v>
      </c>
      <c r="J313" s="4">
        <v>4</v>
      </c>
      <c r="K313" s="8">
        <v>12886.24</v>
      </c>
      <c r="L313" s="5">
        <v>1300.3900000000001</v>
      </c>
      <c r="M313" s="8">
        <v>14186.63</v>
      </c>
      <c r="N313" s="8">
        <v>30403.99</v>
      </c>
      <c r="O313" s="8">
        <v>87629.26</v>
      </c>
      <c r="P313" s="3" t="s">
        <v>0</v>
      </c>
      <c r="Q313" s="3" t="s">
        <v>5</v>
      </c>
    </row>
    <row r="314" spans="1:17" x14ac:dyDescent="0.25">
      <c r="A314" s="3" t="s">
        <v>1615</v>
      </c>
      <c r="B314" s="3" t="s">
        <v>1616</v>
      </c>
      <c r="C314" s="3" t="s">
        <v>25</v>
      </c>
      <c r="D314" s="3" t="s">
        <v>1617</v>
      </c>
      <c r="E314" s="3" t="s">
        <v>908</v>
      </c>
      <c r="F314" s="3" t="s">
        <v>1449</v>
      </c>
      <c r="G314" s="15">
        <v>46133</v>
      </c>
      <c r="H314" s="16">
        <f t="shared" si="8"/>
        <v>244</v>
      </c>
      <c r="I314" s="16" t="str">
        <f t="shared" si="9"/>
        <v>241 à 365 dias</v>
      </c>
      <c r="J314" s="11">
        <v>11</v>
      </c>
      <c r="K314" s="5">
        <v>9795.9500000000007</v>
      </c>
      <c r="L314" s="6">
        <v>720.69</v>
      </c>
      <c r="M314" s="8">
        <v>10516.64</v>
      </c>
      <c r="N314" s="8">
        <v>70494.02</v>
      </c>
      <c r="O314" s="8">
        <v>20838.669999999998</v>
      </c>
      <c r="P314" s="3" t="s">
        <v>0</v>
      </c>
      <c r="Q314" s="3" t="s">
        <v>5</v>
      </c>
    </row>
    <row r="315" spans="1:17" x14ac:dyDescent="0.25">
      <c r="A315" s="3" t="s">
        <v>1143</v>
      </c>
      <c r="B315" s="3" t="s">
        <v>1618</v>
      </c>
      <c r="C315" s="3" t="s">
        <v>349</v>
      </c>
      <c r="D315" s="3" t="s">
        <v>1619</v>
      </c>
      <c r="E315" s="3" t="s">
        <v>1620</v>
      </c>
      <c r="F315" s="3" t="s">
        <v>1621</v>
      </c>
      <c r="G315" s="15">
        <v>46133</v>
      </c>
      <c r="H315" s="16">
        <f t="shared" si="8"/>
        <v>305</v>
      </c>
      <c r="I315" s="16" t="str">
        <f t="shared" si="9"/>
        <v>241 à 365 dias</v>
      </c>
      <c r="J315" s="4">
        <v>1</v>
      </c>
      <c r="K315" s="5">
        <v>3119.44</v>
      </c>
      <c r="L315" s="6">
        <v>384.71</v>
      </c>
      <c r="M315" s="5">
        <v>3504.15</v>
      </c>
      <c r="N315" s="8">
        <v>97654.83</v>
      </c>
      <c r="O315" s="7">
        <v>205821.68</v>
      </c>
      <c r="P315" s="3" t="s">
        <v>0</v>
      </c>
      <c r="Q315" s="3" t="s">
        <v>5</v>
      </c>
    </row>
    <row r="316" spans="1:17" x14ac:dyDescent="0.25">
      <c r="A316" s="3" t="s">
        <v>1622</v>
      </c>
      <c r="B316" s="3" t="s">
        <v>1623</v>
      </c>
      <c r="C316" s="3" t="s">
        <v>128</v>
      </c>
      <c r="D316" s="3" t="s">
        <v>1624</v>
      </c>
      <c r="E316" s="3" t="s">
        <v>1625</v>
      </c>
      <c r="F316" s="3" t="s">
        <v>1626</v>
      </c>
      <c r="G316" s="15">
        <v>46133</v>
      </c>
      <c r="H316" s="16">
        <f t="shared" si="8"/>
        <v>334</v>
      </c>
      <c r="I316" s="16" t="str">
        <f t="shared" si="9"/>
        <v>241 à 365 dias</v>
      </c>
      <c r="J316" s="11">
        <v>18</v>
      </c>
      <c r="K316" s="8">
        <v>22713.07</v>
      </c>
      <c r="L316" s="5">
        <v>2032.44</v>
      </c>
      <c r="M316" s="8">
        <v>24745.51</v>
      </c>
      <c r="N316" s="8">
        <v>74338.539999999994</v>
      </c>
      <c r="O316" s="7">
        <v>252375.64</v>
      </c>
      <c r="P316" s="3" t="s">
        <v>0</v>
      </c>
      <c r="Q316" s="3" t="s">
        <v>5</v>
      </c>
    </row>
    <row r="317" spans="1:17" x14ac:dyDescent="0.25">
      <c r="A317" s="3" t="s">
        <v>1627</v>
      </c>
      <c r="B317" s="3" t="s">
        <v>1628</v>
      </c>
      <c r="C317" s="3" t="s">
        <v>50</v>
      </c>
      <c r="D317" s="3" t="s">
        <v>1629</v>
      </c>
      <c r="E317" s="3" t="s">
        <v>1630</v>
      </c>
      <c r="F317" s="3" t="s">
        <v>1309</v>
      </c>
      <c r="G317" s="15">
        <v>46133</v>
      </c>
      <c r="H317" s="16">
        <f t="shared" si="8"/>
        <v>315</v>
      </c>
      <c r="I317" s="16" t="str">
        <f t="shared" si="9"/>
        <v>241 à 365 dias</v>
      </c>
      <c r="J317" s="11">
        <v>18</v>
      </c>
      <c r="K317" s="5">
        <v>9807.9500000000007</v>
      </c>
      <c r="L317" s="6">
        <v>780.21</v>
      </c>
      <c r="M317" s="5">
        <v>10810.58</v>
      </c>
      <c r="N317" s="8">
        <v>16739.3</v>
      </c>
      <c r="O317" s="7">
        <v>222669.7</v>
      </c>
      <c r="P317" s="3" t="s">
        <v>0</v>
      </c>
      <c r="Q317" s="3" t="s">
        <v>5</v>
      </c>
    </row>
    <row r="318" spans="1:17" x14ac:dyDescent="0.25">
      <c r="A318" s="3" t="s">
        <v>1631</v>
      </c>
      <c r="B318" s="3" t="s">
        <v>1632</v>
      </c>
      <c r="C318" s="3" t="s">
        <v>50</v>
      </c>
      <c r="D318" s="3" t="s">
        <v>1633</v>
      </c>
      <c r="E318" s="3" t="s">
        <v>1634</v>
      </c>
      <c r="F318" s="3" t="s">
        <v>1635</v>
      </c>
      <c r="G318" s="15">
        <v>46133</v>
      </c>
      <c r="H318" s="16">
        <f t="shared" si="8"/>
        <v>290</v>
      </c>
      <c r="I318" s="16" t="str">
        <f t="shared" si="9"/>
        <v>241 à 365 dias</v>
      </c>
      <c r="J318" s="11">
        <v>10</v>
      </c>
      <c r="K318" s="8">
        <v>21490.9</v>
      </c>
      <c r="L318" s="5">
        <v>1542.02</v>
      </c>
      <c r="M318" s="5">
        <v>23110.19</v>
      </c>
      <c r="N318" s="8">
        <v>55890.42</v>
      </c>
      <c r="O318" s="7">
        <v>101007.23</v>
      </c>
      <c r="P318" s="3" t="s">
        <v>0</v>
      </c>
      <c r="Q318" s="3" t="s">
        <v>5</v>
      </c>
    </row>
    <row r="319" spans="1:17" x14ac:dyDescent="0.25">
      <c r="A319" s="3" t="s">
        <v>1636</v>
      </c>
      <c r="B319" s="3" t="s">
        <v>1637</v>
      </c>
      <c r="C319" s="3" t="s">
        <v>128</v>
      </c>
      <c r="D319" s="3" t="s">
        <v>1638</v>
      </c>
      <c r="E319" s="3" t="s">
        <v>1639</v>
      </c>
      <c r="F319" s="3" t="s">
        <v>1335</v>
      </c>
      <c r="G319" s="15">
        <v>46133</v>
      </c>
      <c r="H319" s="16">
        <f t="shared" si="8"/>
        <v>310</v>
      </c>
      <c r="I319" s="16" t="str">
        <f t="shared" si="9"/>
        <v>241 à 365 dias</v>
      </c>
      <c r="J319" s="4">
        <v>3</v>
      </c>
      <c r="K319" s="5">
        <v>3095.99</v>
      </c>
      <c r="L319" s="6">
        <v>204.5</v>
      </c>
      <c r="M319" s="5">
        <v>3300.49</v>
      </c>
      <c r="N319" s="8">
        <v>82655.789999999994</v>
      </c>
      <c r="O319" s="7">
        <v>461320.09</v>
      </c>
      <c r="P319" s="3" t="s">
        <v>0</v>
      </c>
      <c r="Q319" s="3" t="s">
        <v>5</v>
      </c>
    </row>
    <row r="320" spans="1:17" x14ac:dyDescent="0.25">
      <c r="A320" s="3" t="s">
        <v>1510</v>
      </c>
      <c r="B320" s="3" t="s">
        <v>1640</v>
      </c>
      <c r="C320" s="3" t="s">
        <v>50</v>
      </c>
      <c r="D320" s="3" t="s">
        <v>1641</v>
      </c>
      <c r="E320" s="3" t="s">
        <v>334</v>
      </c>
      <c r="F320" s="3" t="s">
        <v>102</v>
      </c>
      <c r="G320" s="15">
        <v>46133</v>
      </c>
      <c r="H320" s="16">
        <f t="shared" si="8"/>
        <v>300</v>
      </c>
      <c r="I320" s="16" t="str">
        <f t="shared" si="9"/>
        <v>241 à 365 dias</v>
      </c>
      <c r="J320" s="4">
        <v>5</v>
      </c>
      <c r="K320" s="5">
        <v>5365.64</v>
      </c>
      <c r="L320" s="6">
        <v>431.46</v>
      </c>
      <c r="M320" s="5">
        <v>5820.91</v>
      </c>
      <c r="N320" s="8">
        <v>28085.89</v>
      </c>
      <c r="O320" s="7">
        <v>228512.2</v>
      </c>
      <c r="P320" s="3" t="s">
        <v>0</v>
      </c>
      <c r="Q320" s="3" t="s">
        <v>5</v>
      </c>
    </row>
    <row r="321" spans="1:17" x14ac:dyDescent="0.25">
      <c r="A321" s="3" t="s">
        <v>1642</v>
      </c>
      <c r="B321" s="3" t="s">
        <v>1643</v>
      </c>
      <c r="C321" s="3" t="s">
        <v>349</v>
      </c>
      <c r="D321" s="3" t="s">
        <v>1644</v>
      </c>
      <c r="E321" s="3" t="s">
        <v>1645</v>
      </c>
      <c r="F321" s="3" t="s">
        <v>1330</v>
      </c>
      <c r="G321" s="15">
        <v>46133</v>
      </c>
      <c r="H321" s="16">
        <f t="shared" si="8"/>
        <v>285</v>
      </c>
      <c r="I321" s="16" t="str">
        <f t="shared" si="9"/>
        <v>241 à 365 dias</v>
      </c>
      <c r="J321" s="4">
        <v>2</v>
      </c>
      <c r="K321" s="5">
        <v>4713.38</v>
      </c>
      <c r="L321" s="6">
        <v>327.35000000000002</v>
      </c>
      <c r="M321" s="5">
        <v>5040.7299999999996</v>
      </c>
      <c r="N321" s="7">
        <v>145830.07</v>
      </c>
      <c r="O321" s="7">
        <v>335776.3</v>
      </c>
      <c r="P321" s="3" t="s">
        <v>0</v>
      </c>
      <c r="Q321" s="3" t="s">
        <v>5</v>
      </c>
    </row>
    <row r="322" spans="1:17" x14ac:dyDescent="0.25">
      <c r="A322" s="3" t="s">
        <v>1646</v>
      </c>
      <c r="B322" s="3" t="s">
        <v>1647</v>
      </c>
      <c r="C322" s="3" t="s">
        <v>128</v>
      </c>
      <c r="D322" s="3" t="s">
        <v>1648</v>
      </c>
      <c r="E322" s="3" t="s">
        <v>1649</v>
      </c>
      <c r="F322" s="3" t="s">
        <v>1237</v>
      </c>
      <c r="G322" s="15">
        <v>46133</v>
      </c>
      <c r="H322" s="16">
        <f t="shared" ref="H322:H385" si="10">G322-F322</f>
        <v>265</v>
      </c>
      <c r="I322" s="16" t="str">
        <f t="shared" ref="I322:I385" si="11">+IF(H322&lt;35,"Adimplente",IF(H322&lt;=60,"35 à 60 dias",IF(H322&lt;=90,"61 à 90 dias",IF(H322&lt;=120,"91 à 120 dias",IF(H322&lt;=180,"121 à 180 dias",IF(H322&lt;=240,"181 à 240 dias",IF(H322&lt;=365,"241 à 365 dias","Maior 365 dias")))))))</f>
        <v>241 à 365 dias</v>
      </c>
      <c r="J322" s="4">
        <v>4</v>
      </c>
      <c r="K322" s="5">
        <v>2929.78</v>
      </c>
      <c r="L322" s="6">
        <v>139.61000000000001</v>
      </c>
      <c r="M322" s="5">
        <v>3069.39</v>
      </c>
      <c r="N322" s="8">
        <v>83687.97</v>
      </c>
      <c r="O322" s="7">
        <v>153979.56</v>
      </c>
      <c r="P322" s="3" t="s">
        <v>0</v>
      </c>
      <c r="Q322" s="3" t="s">
        <v>5</v>
      </c>
    </row>
    <row r="323" spans="1:17" x14ac:dyDescent="0.25">
      <c r="A323" s="3" t="s">
        <v>1650</v>
      </c>
      <c r="B323" s="3" t="s">
        <v>1651</v>
      </c>
      <c r="C323" s="3" t="s">
        <v>349</v>
      </c>
      <c r="D323" s="3" t="s">
        <v>1652</v>
      </c>
      <c r="E323" s="3" t="s">
        <v>1653</v>
      </c>
      <c r="F323" s="3" t="s">
        <v>1449</v>
      </c>
      <c r="G323" s="15">
        <v>46133</v>
      </c>
      <c r="H323" s="16">
        <f t="shared" si="10"/>
        <v>244</v>
      </c>
      <c r="I323" s="16" t="str">
        <f t="shared" si="11"/>
        <v>241 à 365 dias</v>
      </c>
      <c r="J323" s="4">
        <v>8</v>
      </c>
      <c r="K323" s="5">
        <v>9369.66</v>
      </c>
      <c r="L323" s="6">
        <v>547.47</v>
      </c>
      <c r="M323" s="5">
        <v>9917.1299999999992</v>
      </c>
      <c r="N323" s="8">
        <v>38909.1</v>
      </c>
      <c r="O323" s="7">
        <v>193536.85</v>
      </c>
      <c r="P323" s="3" t="s">
        <v>0</v>
      </c>
      <c r="Q323" s="3" t="s">
        <v>5</v>
      </c>
    </row>
    <row r="324" spans="1:17" x14ac:dyDescent="0.25">
      <c r="A324" s="3" t="s">
        <v>1654</v>
      </c>
      <c r="B324" s="3" t="s">
        <v>1655</v>
      </c>
      <c r="C324" s="3" t="s">
        <v>37</v>
      </c>
      <c r="D324" s="3" t="s">
        <v>1656</v>
      </c>
      <c r="E324" s="3" t="s">
        <v>1657</v>
      </c>
      <c r="F324" s="3" t="s">
        <v>1317</v>
      </c>
      <c r="G324" s="15">
        <v>46133</v>
      </c>
      <c r="H324" s="16">
        <f t="shared" si="10"/>
        <v>270</v>
      </c>
      <c r="I324" s="16" t="str">
        <f t="shared" si="11"/>
        <v>241 à 365 dias</v>
      </c>
      <c r="J324" s="4">
        <v>5</v>
      </c>
      <c r="K324" s="5">
        <v>2737.6</v>
      </c>
      <c r="L324" s="6">
        <v>234.81</v>
      </c>
      <c r="M324" s="5">
        <v>2972.41</v>
      </c>
      <c r="N324" s="5">
        <v>5364.11</v>
      </c>
      <c r="O324" s="7">
        <v>127194.1</v>
      </c>
      <c r="P324" s="3" t="s">
        <v>0</v>
      </c>
      <c r="Q324" s="3" t="s">
        <v>5</v>
      </c>
    </row>
    <row r="325" spans="1:17" x14ac:dyDescent="0.25">
      <c r="A325" s="3" t="s">
        <v>1658</v>
      </c>
      <c r="B325" s="3" t="s">
        <v>1659</v>
      </c>
      <c r="C325" s="3" t="s">
        <v>31</v>
      </c>
      <c r="D325" s="3" t="s">
        <v>1660</v>
      </c>
      <c r="E325" s="3" t="s">
        <v>323</v>
      </c>
      <c r="F325" s="3" t="s">
        <v>1330</v>
      </c>
      <c r="G325" s="15">
        <v>46133</v>
      </c>
      <c r="H325" s="16">
        <f t="shared" si="10"/>
        <v>285</v>
      </c>
      <c r="I325" s="16" t="str">
        <f t="shared" si="11"/>
        <v>241 à 365 dias</v>
      </c>
      <c r="J325" s="4">
        <v>7</v>
      </c>
      <c r="K325" s="8">
        <v>45000</v>
      </c>
      <c r="L325" s="5">
        <v>4777</v>
      </c>
      <c r="M325" s="8">
        <v>49777</v>
      </c>
      <c r="N325" s="8">
        <v>19001.759999999998</v>
      </c>
      <c r="O325" s="7">
        <v>178000</v>
      </c>
      <c r="P325" s="3" t="s">
        <v>0</v>
      </c>
      <c r="Q325" s="3" t="s">
        <v>5</v>
      </c>
    </row>
    <row r="326" spans="1:17" x14ac:dyDescent="0.25">
      <c r="A326" s="3" t="s">
        <v>1661</v>
      </c>
      <c r="B326" s="3" t="s">
        <v>1662</v>
      </c>
      <c r="C326" s="3" t="s">
        <v>94</v>
      </c>
      <c r="D326" s="3" t="s">
        <v>1663</v>
      </c>
      <c r="E326" s="3" t="s">
        <v>716</v>
      </c>
      <c r="F326" s="3" t="s">
        <v>1305</v>
      </c>
      <c r="G326" s="15">
        <v>46133</v>
      </c>
      <c r="H326" s="16">
        <f t="shared" si="10"/>
        <v>254</v>
      </c>
      <c r="I326" s="16" t="str">
        <f t="shared" si="11"/>
        <v>241 à 365 dias</v>
      </c>
      <c r="J326" s="4">
        <v>4</v>
      </c>
      <c r="K326" s="5">
        <v>3195.35</v>
      </c>
      <c r="L326" s="6">
        <v>202.45</v>
      </c>
      <c r="M326" s="5">
        <v>3397.8</v>
      </c>
      <c r="N326" s="8">
        <v>10062.17</v>
      </c>
      <c r="O326" s="7">
        <v>135354.12</v>
      </c>
      <c r="P326" s="3" t="s">
        <v>0</v>
      </c>
      <c r="Q326" s="3" t="s">
        <v>5</v>
      </c>
    </row>
    <row r="327" spans="1:17" x14ac:dyDescent="0.25">
      <c r="A327" s="3" t="s">
        <v>288</v>
      </c>
      <c r="B327" s="3" t="s">
        <v>1664</v>
      </c>
      <c r="C327" s="3" t="s">
        <v>94</v>
      </c>
      <c r="D327" s="3" t="s">
        <v>1665</v>
      </c>
      <c r="E327" s="3" t="s">
        <v>70</v>
      </c>
      <c r="F327" s="3" t="s">
        <v>1305</v>
      </c>
      <c r="G327" s="15">
        <v>46133</v>
      </c>
      <c r="H327" s="16">
        <f t="shared" si="10"/>
        <v>254</v>
      </c>
      <c r="I327" s="16" t="str">
        <f t="shared" si="11"/>
        <v>241 à 365 dias</v>
      </c>
      <c r="J327" s="4">
        <v>1</v>
      </c>
      <c r="K327" s="6">
        <v>762.98</v>
      </c>
      <c r="L327" s="9">
        <v>80.2</v>
      </c>
      <c r="M327" s="6">
        <v>843.18</v>
      </c>
      <c r="N327" s="5">
        <v>8392.7800000000007</v>
      </c>
      <c r="O327" s="7">
        <v>128943.62</v>
      </c>
      <c r="P327" s="3" t="s">
        <v>0</v>
      </c>
      <c r="Q327" s="3" t="s">
        <v>5</v>
      </c>
    </row>
    <row r="328" spans="1:17" x14ac:dyDescent="0.25">
      <c r="A328" s="3" t="s">
        <v>1666</v>
      </c>
      <c r="B328" s="3" t="s">
        <v>1667</v>
      </c>
      <c r="C328" s="3" t="s">
        <v>120</v>
      </c>
      <c r="D328" s="3" t="s">
        <v>1668</v>
      </c>
      <c r="E328" s="3" t="s">
        <v>1669</v>
      </c>
      <c r="F328" s="3" t="s">
        <v>1305</v>
      </c>
      <c r="G328" s="15">
        <v>46133</v>
      </c>
      <c r="H328" s="16">
        <f t="shared" si="10"/>
        <v>254</v>
      </c>
      <c r="I328" s="16" t="str">
        <f t="shared" si="11"/>
        <v>241 à 365 dias</v>
      </c>
      <c r="J328" s="11">
        <v>10</v>
      </c>
      <c r="K328" s="8">
        <v>15266.72</v>
      </c>
      <c r="L328" s="6">
        <v>963.51</v>
      </c>
      <c r="M328" s="8">
        <v>16230.23</v>
      </c>
      <c r="N328" s="8">
        <v>79296.86</v>
      </c>
      <c r="O328" s="7">
        <v>182379.03</v>
      </c>
      <c r="P328" s="3" t="s">
        <v>0</v>
      </c>
      <c r="Q328" s="3" t="s">
        <v>5</v>
      </c>
    </row>
    <row r="329" spans="1:17" x14ac:dyDescent="0.25">
      <c r="A329" s="3" t="s">
        <v>1670</v>
      </c>
      <c r="B329" s="3" t="s">
        <v>1671</v>
      </c>
      <c r="C329" s="3" t="s">
        <v>128</v>
      </c>
      <c r="D329" s="3" t="s">
        <v>1672</v>
      </c>
      <c r="E329" s="3" t="s">
        <v>1548</v>
      </c>
      <c r="F329" s="3" t="s">
        <v>1297</v>
      </c>
      <c r="G329" s="15">
        <v>46133</v>
      </c>
      <c r="H329" s="16">
        <f t="shared" si="10"/>
        <v>331</v>
      </c>
      <c r="I329" s="16" t="str">
        <f t="shared" si="11"/>
        <v>241 à 365 dias</v>
      </c>
      <c r="J329" s="4">
        <v>5</v>
      </c>
      <c r="K329" s="5">
        <v>9479.4500000000007</v>
      </c>
      <c r="L329" s="6">
        <v>910.53</v>
      </c>
      <c r="M329" s="8">
        <v>10389.98</v>
      </c>
      <c r="N329" s="7">
        <v>151264.89000000001</v>
      </c>
      <c r="O329" s="7">
        <v>158771.67000000001</v>
      </c>
      <c r="P329" s="3" t="s">
        <v>0</v>
      </c>
      <c r="Q329" s="3" t="s">
        <v>5</v>
      </c>
    </row>
    <row r="330" spans="1:17" x14ac:dyDescent="0.25">
      <c r="A330" s="3" t="s">
        <v>1673</v>
      </c>
      <c r="B330" s="3" t="s">
        <v>1674</v>
      </c>
      <c r="C330" s="3" t="s">
        <v>349</v>
      </c>
      <c r="D330" s="3" t="s">
        <v>1675</v>
      </c>
      <c r="E330" s="3" t="s">
        <v>1676</v>
      </c>
      <c r="F330" s="3" t="s">
        <v>1237</v>
      </c>
      <c r="G330" s="15">
        <v>46133</v>
      </c>
      <c r="H330" s="16">
        <f t="shared" si="10"/>
        <v>265</v>
      </c>
      <c r="I330" s="16" t="str">
        <f t="shared" si="11"/>
        <v>241 à 365 dias</v>
      </c>
      <c r="J330" s="4">
        <v>6</v>
      </c>
      <c r="K330" s="5">
        <v>7259.58</v>
      </c>
      <c r="L330" s="6">
        <v>681.73</v>
      </c>
      <c r="M330" s="5">
        <v>7941.31</v>
      </c>
      <c r="N330" s="8">
        <v>44520.25</v>
      </c>
      <c r="O330" s="7">
        <v>216940.65</v>
      </c>
      <c r="P330" s="3" t="s">
        <v>0</v>
      </c>
      <c r="Q330" s="3" t="s">
        <v>5</v>
      </c>
    </row>
    <row r="331" spans="1:17" x14ac:dyDescent="0.25">
      <c r="A331" s="3" t="s">
        <v>1677</v>
      </c>
      <c r="B331" s="3" t="s">
        <v>1678</v>
      </c>
      <c r="C331" s="3" t="s">
        <v>25</v>
      </c>
      <c r="D331" s="3" t="s">
        <v>1679</v>
      </c>
      <c r="E331" s="3" t="s">
        <v>1680</v>
      </c>
      <c r="F331" s="3" t="s">
        <v>1681</v>
      </c>
      <c r="G331" s="15">
        <v>46133</v>
      </c>
      <c r="H331" s="16">
        <f t="shared" si="10"/>
        <v>264</v>
      </c>
      <c r="I331" s="16" t="str">
        <f t="shared" si="11"/>
        <v>241 à 365 dias</v>
      </c>
      <c r="J331" s="11">
        <v>16</v>
      </c>
      <c r="K331" s="5">
        <v>9110.51</v>
      </c>
      <c r="L331" s="6">
        <v>689.31</v>
      </c>
      <c r="M331" s="5">
        <v>9799.82</v>
      </c>
      <c r="N331" s="8">
        <v>61615.64</v>
      </c>
      <c r="O331" s="8">
        <v>41607.71</v>
      </c>
      <c r="P331" s="3" t="s">
        <v>0</v>
      </c>
      <c r="Q331" s="3" t="s">
        <v>5</v>
      </c>
    </row>
    <row r="332" spans="1:17" x14ac:dyDescent="0.25">
      <c r="A332" s="3" t="s">
        <v>1682</v>
      </c>
      <c r="B332" s="3" t="s">
        <v>1683</v>
      </c>
      <c r="C332" s="3" t="s">
        <v>194</v>
      </c>
      <c r="D332" s="3" t="s">
        <v>1684</v>
      </c>
      <c r="E332" s="3" t="s">
        <v>1685</v>
      </c>
      <c r="F332" s="3" t="s">
        <v>1449</v>
      </c>
      <c r="G332" s="15">
        <v>46133</v>
      </c>
      <c r="H332" s="16">
        <f t="shared" si="10"/>
        <v>244</v>
      </c>
      <c r="I332" s="16" t="str">
        <f t="shared" si="11"/>
        <v>241 à 365 dias</v>
      </c>
      <c r="J332" s="4">
        <v>6</v>
      </c>
      <c r="K332" s="8">
        <v>17915.28</v>
      </c>
      <c r="L332" s="5">
        <v>1027.29</v>
      </c>
      <c r="M332" s="8">
        <v>18942.57</v>
      </c>
      <c r="N332" s="8">
        <v>39797.480000000003</v>
      </c>
      <c r="O332" s="7">
        <v>524192.04</v>
      </c>
      <c r="P332" s="3" t="s">
        <v>0</v>
      </c>
      <c r="Q332" s="3" t="s">
        <v>5</v>
      </c>
    </row>
    <row r="333" spans="1:17" x14ac:dyDescent="0.25">
      <c r="A333" s="3" t="s">
        <v>1686</v>
      </c>
      <c r="B333" s="3" t="s">
        <v>1687</v>
      </c>
      <c r="C333" s="3" t="s">
        <v>164</v>
      </c>
      <c r="D333" s="3" t="s">
        <v>1688</v>
      </c>
      <c r="E333" s="3" t="s">
        <v>166</v>
      </c>
      <c r="F333" s="3" t="s">
        <v>1293</v>
      </c>
      <c r="G333" s="15">
        <v>46133</v>
      </c>
      <c r="H333" s="16">
        <f t="shared" si="10"/>
        <v>275</v>
      </c>
      <c r="I333" s="16" t="str">
        <f t="shared" si="11"/>
        <v>241 à 365 dias</v>
      </c>
      <c r="J333" s="4">
        <v>6</v>
      </c>
      <c r="K333" s="8">
        <v>10531.86</v>
      </c>
      <c r="L333" s="6">
        <v>569.88</v>
      </c>
      <c r="M333" s="8">
        <v>11101.74</v>
      </c>
      <c r="N333" s="8">
        <v>14546.21</v>
      </c>
      <c r="O333" s="7">
        <v>202757.22</v>
      </c>
      <c r="P333" s="3" t="s">
        <v>0</v>
      </c>
      <c r="Q333" s="3" t="s">
        <v>5</v>
      </c>
    </row>
    <row r="334" spans="1:17" x14ac:dyDescent="0.25">
      <c r="A334" s="3" t="s">
        <v>1689</v>
      </c>
      <c r="B334" s="3" t="s">
        <v>1690</v>
      </c>
      <c r="C334" s="3" t="s">
        <v>128</v>
      </c>
      <c r="D334" s="3" t="s">
        <v>1691</v>
      </c>
      <c r="E334" s="3" t="s">
        <v>1692</v>
      </c>
      <c r="F334" s="3" t="s">
        <v>1317</v>
      </c>
      <c r="G334" s="15">
        <v>46133</v>
      </c>
      <c r="H334" s="16">
        <f t="shared" si="10"/>
        <v>270</v>
      </c>
      <c r="I334" s="16" t="str">
        <f t="shared" si="11"/>
        <v>241 à 365 dias</v>
      </c>
      <c r="J334" s="4">
        <v>3</v>
      </c>
      <c r="K334" s="8">
        <v>10964.07</v>
      </c>
      <c r="L334" s="6">
        <v>723.17</v>
      </c>
      <c r="M334" s="8">
        <v>11687.24</v>
      </c>
      <c r="N334" s="8">
        <v>98580.63</v>
      </c>
      <c r="O334" s="7">
        <v>219281.4</v>
      </c>
      <c r="P334" s="3" t="s">
        <v>0</v>
      </c>
      <c r="Q334" s="3" t="s">
        <v>5</v>
      </c>
    </row>
    <row r="335" spans="1:17" x14ac:dyDescent="0.25">
      <c r="A335" s="3" t="s">
        <v>877</v>
      </c>
      <c r="B335" s="3" t="s">
        <v>1693</v>
      </c>
      <c r="C335" s="3" t="s">
        <v>94</v>
      </c>
      <c r="D335" s="3" t="s">
        <v>1694</v>
      </c>
      <c r="E335" s="3" t="s">
        <v>130</v>
      </c>
      <c r="F335" s="3" t="s">
        <v>1449</v>
      </c>
      <c r="G335" s="15">
        <v>46133</v>
      </c>
      <c r="H335" s="16">
        <f t="shared" si="10"/>
        <v>244</v>
      </c>
      <c r="I335" s="16" t="str">
        <f t="shared" si="11"/>
        <v>241 à 365 dias</v>
      </c>
      <c r="J335" s="4">
        <v>2</v>
      </c>
      <c r="K335" s="6">
        <v>816.11</v>
      </c>
      <c r="L335" s="9">
        <v>18.059999999999999</v>
      </c>
      <c r="M335" s="6">
        <v>834.17</v>
      </c>
      <c r="N335" s="8">
        <v>31012.41</v>
      </c>
      <c r="O335" s="7">
        <v>115187.51</v>
      </c>
      <c r="P335" s="3" t="s">
        <v>0</v>
      </c>
      <c r="Q335" s="3" t="s">
        <v>5</v>
      </c>
    </row>
    <row r="336" spans="1:17" x14ac:dyDescent="0.25">
      <c r="A336" s="3" t="s">
        <v>1695</v>
      </c>
      <c r="B336" s="3" t="s">
        <v>1696</v>
      </c>
      <c r="C336" s="3" t="s">
        <v>50</v>
      </c>
      <c r="D336" s="3" t="s">
        <v>1697</v>
      </c>
      <c r="E336" s="3" t="s">
        <v>1698</v>
      </c>
      <c r="F336" s="3" t="s">
        <v>102</v>
      </c>
      <c r="G336" s="15">
        <v>46133</v>
      </c>
      <c r="H336" s="16">
        <f t="shared" si="10"/>
        <v>300</v>
      </c>
      <c r="I336" s="16" t="str">
        <f t="shared" si="11"/>
        <v>241 à 365 dias</v>
      </c>
      <c r="J336" s="11">
        <v>26</v>
      </c>
      <c r="K336" s="8">
        <v>31956.400000000001</v>
      </c>
      <c r="L336" s="5">
        <v>2476.9299999999998</v>
      </c>
      <c r="M336" s="5">
        <v>34537.64</v>
      </c>
      <c r="N336" s="7">
        <v>109874.36</v>
      </c>
      <c r="O336" s="8">
        <v>45341.2</v>
      </c>
      <c r="P336" s="3" t="s">
        <v>0</v>
      </c>
      <c r="Q336" s="3" t="s">
        <v>5</v>
      </c>
    </row>
    <row r="337" spans="1:17" x14ac:dyDescent="0.25">
      <c r="A337" s="3" t="s">
        <v>1699</v>
      </c>
      <c r="B337" s="3" t="s">
        <v>1696</v>
      </c>
      <c r="C337" s="3" t="s">
        <v>50</v>
      </c>
      <c r="D337" s="3" t="s">
        <v>1700</v>
      </c>
      <c r="E337" s="3" t="s">
        <v>1698</v>
      </c>
      <c r="F337" s="3" t="s">
        <v>1366</v>
      </c>
      <c r="G337" s="15">
        <v>46133</v>
      </c>
      <c r="H337" s="16">
        <f t="shared" si="10"/>
        <v>326</v>
      </c>
      <c r="I337" s="16" t="str">
        <f t="shared" si="11"/>
        <v>241 à 365 dias</v>
      </c>
      <c r="J337" s="11">
        <v>27</v>
      </c>
      <c r="K337" s="8">
        <v>31976.49</v>
      </c>
      <c r="L337" s="5">
        <v>2579.41</v>
      </c>
      <c r="M337" s="5">
        <v>34660.29</v>
      </c>
      <c r="N337" s="7">
        <v>109855.7</v>
      </c>
      <c r="O337" s="8">
        <v>45361.29</v>
      </c>
      <c r="P337" s="3" t="s">
        <v>0</v>
      </c>
      <c r="Q337" s="3" t="s">
        <v>5</v>
      </c>
    </row>
    <row r="338" spans="1:17" x14ac:dyDescent="0.25">
      <c r="A338" s="3" t="s">
        <v>1701</v>
      </c>
      <c r="B338" s="3" t="s">
        <v>1702</v>
      </c>
      <c r="C338" s="3" t="s">
        <v>120</v>
      </c>
      <c r="D338" s="3" t="s">
        <v>1703</v>
      </c>
      <c r="E338" s="3" t="s">
        <v>1704</v>
      </c>
      <c r="F338" s="3" t="s">
        <v>1305</v>
      </c>
      <c r="G338" s="15">
        <v>46133</v>
      </c>
      <c r="H338" s="16">
        <f t="shared" si="10"/>
        <v>254</v>
      </c>
      <c r="I338" s="16" t="str">
        <f t="shared" si="11"/>
        <v>241 à 365 dias</v>
      </c>
      <c r="J338" s="11">
        <v>10</v>
      </c>
      <c r="K338" s="8">
        <v>16622.689999999999</v>
      </c>
      <c r="L338" s="5">
        <v>1242.76</v>
      </c>
      <c r="M338" s="8">
        <v>17865.45</v>
      </c>
      <c r="N338" s="8">
        <v>84413.74</v>
      </c>
      <c r="O338" s="7">
        <v>218437.87</v>
      </c>
      <c r="P338" s="3" t="s">
        <v>0</v>
      </c>
      <c r="Q338" s="3" t="s">
        <v>5</v>
      </c>
    </row>
    <row r="339" spans="1:17" x14ac:dyDescent="0.25">
      <c r="A339" s="3" t="s">
        <v>1705</v>
      </c>
      <c r="B339" s="3" t="s">
        <v>1706</v>
      </c>
      <c r="C339" s="3" t="s">
        <v>50</v>
      </c>
      <c r="D339" s="3" t="s">
        <v>1707</v>
      </c>
      <c r="E339" s="3" t="s">
        <v>1708</v>
      </c>
      <c r="F339" s="3" t="s">
        <v>1317</v>
      </c>
      <c r="G339" s="15">
        <v>46133</v>
      </c>
      <c r="H339" s="16">
        <f t="shared" si="10"/>
        <v>270</v>
      </c>
      <c r="I339" s="16" t="str">
        <f t="shared" si="11"/>
        <v>241 à 365 dias</v>
      </c>
      <c r="J339" s="4">
        <v>5</v>
      </c>
      <c r="K339" s="5">
        <v>6724.7</v>
      </c>
      <c r="L339" s="6">
        <v>556.49</v>
      </c>
      <c r="M339" s="5">
        <v>7344.17</v>
      </c>
      <c r="N339" s="8">
        <v>27924.639999999999</v>
      </c>
      <c r="O339" s="7">
        <v>309754.3</v>
      </c>
      <c r="P339" s="3" t="s">
        <v>0</v>
      </c>
      <c r="Q339" s="3" t="s">
        <v>5</v>
      </c>
    </row>
    <row r="340" spans="1:17" x14ac:dyDescent="0.25">
      <c r="A340" s="3" t="s">
        <v>1709</v>
      </c>
      <c r="B340" s="3" t="s">
        <v>1706</v>
      </c>
      <c r="C340" s="3" t="s">
        <v>50</v>
      </c>
      <c r="D340" s="3" t="s">
        <v>1710</v>
      </c>
      <c r="E340" s="3" t="s">
        <v>1708</v>
      </c>
      <c r="F340" s="3" t="s">
        <v>1317</v>
      </c>
      <c r="G340" s="15">
        <v>46133</v>
      </c>
      <c r="H340" s="16">
        <f t="shared" si="10"/>
        <v>270</v>
      </c>
      <c r="I340" s="16" t="str">
        <f t="shared" si="11"/>
        <v>241 à 365 dias</v>
      </c>
      <c r="J340" s="4">
        <v>5</v>
      </c>
      <c r="K340" s="5">
        <v>6724.7</v>
      </c>
      <c r="L340" s="6">
        <v>556.49</v>
      </c>
      <c r="M340" s="5">
        <v>7344.17</v>
      </c>
      <c r="N340" s="8">
        <v>27924.73</v>
      </c>
      <c r="O340" s="7">
        <v>309754.3</v>
      </c>
      <c r="P340" s="3" t="s">
        <v>0</v>
      </c>
      <c r="Q340" s="3" t="s">
        <v>5</v>
      </c>
    </row>
    <row r="341" spans="1:17" x14ac:dyDescent="0.25">
      <c r="A341" s="3" t="s">
        <v>1711</v>
      </c>
      <c r="B341" s="3" t="s">
        <v>1712</v>
      </c>
      <c r="C341" s="3" t="s">
        <v>128</v>
      </c>
      <c r="D341" s="3" t="s">
        <v>1713</v>
      </c>
      <c r="E341" s="3" t="s">
        <v>170</v>
      </c>
      <c r="F341" s="3" t="s">
        <v>1549</v>
      </c>
      <c r="G341" s="15">
        <v>46133</v>
      </c>
      <c r="H341" s="16">
        <f t="shared" si="10"/>
        <v>295</v>
      </c>
      <c r="I341" s="16" t="str">
        <f t="shared" si="11"/>
        <v>241 à 365 dias</v>
      </c>
      <c r="J341" s="4">
        <v>3</v>
      </c>
      <c r="K341" s="5">
        <v>1667.2</v>
      </c>
      <c r="L341" s="6">
        <v>170.75</v>
      </c>
      <c r="M341" s="5">
        <v>1837.95</v>
      </c>
      <c r="N341" s="8">
        <v>70713.899999999994</v>
      </c>
      <c r="O341" s="7">
        <v>256565.2</v>
      </c>
      <c r="P341" s="3" t="s">
        <v>0</v>
      </c>
      <c r="Q341" s="3" t="s">
        <v>5</v>
      </c>
    </row>
    <row r="342" spans="1:17" x14ac:dyDescent="0.25">
      <c r="A342" s="3" t="s">
        <v>1714</v>
      </c>
      <c r="B342" s="3" t="s">
        <v>1715</v>
      </c>
      <c r="C342" s="3" t="s">
        <v>349</v>
      </c>
      <c r="D342" s="3" t="s">
        <v>1716</v>
      </c>
      <c r="E342" s="3" t="s">
        <v>769</v>
      </c>
      <c r="F342" s="3" t="s">
        <v>1305</v>
      </c>
      <c r="G342" s="15">
        <v>46133</v>
      </c>
      <c r="H342" s="16">
        <f t="shared" si="10"/>
        <v>254</v>
      </c>
      <c r="I342" s="16" t="str">
        <f t="shared" si="11"/>
        <v>241 à 365 dias</v>
      </c>
      <c r="J342" s="4">
        <v>2</v>
      </c>
      <c r="K342" s="5">
        <v>3076.34</v>
      </c>
      <c r="L342" s="6">
        <v>197.1</v>
      </c>
      <c r="M342" s="5">
        <v>3273.44</v>
      </c>
      <c r="N342" s="8">
        <v>66252.33</v>
      </c>
      <c r="O342" s="7">
        <v>356855.44</v>
      </c>
      <c r="P342" s="3" t="s">
        <v>0</v>
      </c>
      <c r="Q342" s="3" t="s">
        <v>5</v>
      </c>
    </row>
    <row r="343" spans="1:17" x14ac:dyDescent="0.25">
      <c r="A343" s="3" t="s">
        <v>1717</v>
      </c>
      <c r="B343" s="3" t="s">
        <v>1718</v>
      </c>
      <c r="C343" s="3" t="s">
        <v>50</v>
      </c>
      <c r="D343" s="3" t="s">
        <v>1719</v>
      </c>
      <c r="E343" s="3" t="s">
        <v>1630</v>
      </c>
      <c r="F343" s="3" t="s">
        <v>857</v>
      </c>
      <c r="G343" s="15">
        <v>46133</v>
      </c>
      <c r="H343" s="16">
        <f t="shared" si="10"/>
        <v>361</v>
      </c>
      <c r="I343" s="16" t="str">
        <f t="shared" si="11"/>
        <v>241 à 365 dias</v>
      </c>
      <c r="J343" s="11">
        <v>11</v>
      </c>
      <c r="K343" s="8">
        <v>18192.060000000001</v>
      </c>
      <c r="L343" s="6">
        <v>919.86</v>
      </c>
      <c r="M343" s="5">
        <v>19229.419999999998</v>
      </c>
      <c r="N343" s="8">
        <v>28561.68</v>
      </c>
      <c r="O343" s="7">
        <v>151343.1</v>
      </c>
      <c r="P343" s="3" t="s">
        <v>0</v>
      </c>
      <c r="Q343" s="3" t="s">
        <v>5</v>
      </c>
    </row>
    <row r="344" spans="1:17" x14ac:dyDescent="0.25">
      <c r="A344" s="3" t="s">
        <v>1720</v>
      </c>
      <c r="B344" s="3" t="s">
        <v>1721</v>
      </c>
      <c r="C344" s="3" t="s">
        <v>50</v>
      </c>
      <c r="D344" s="3" t="s">
        <v>1722</v>
      </c>
      <c r="E344" s="3" t="s">
        <v>39</v>
      </c>
      <c r="F344" s="3" t="s">
        <v>1449</v>
      </c>
      <c r="G344" s="15">
        <v>46133</v>
      </c>
      <c r="H344" s="16">
        <f t="shared" si="10"/>
        <v>244</v>
      </c>
      <c r="I344" s="16" t="str">
        <f t="shared" si="11"/>
        <v>241 à 365 dias</v>
      </c>
      <c r="J344" s="4">
        <v>1</v>
      </c>
      <c r="K344" s="5">
        <v>1762.16</v>
      </c>
      <c r="L344" s="6">
        <v>181.27</v>
      </c>
      <c r="M344" s="5">
        <v>1943.43</v>
      </c>
      <c r="N344" s="8">
        <v>40856.269999999997</v>
      </c>
      <c r="O344" s="7">
        <v>289240.52</v>
      </c>
      <c r="P344" s="3" t="s">
        <v>0</v>
      </c>
      <c r="Q344" s="3" t="s">
        <v>5</v>
      </c>
    </row>
    <row r="345" spans="1:17" x14ac:dyDescent="0.25">
      <c r="A345" s="3" t="s">
        <v>1723</v>
      </c>
      <c r="B345" s="3" t="s">
        <v>1724</v>
      </c>
      <c r="C345" s="3" t="s">
        <v>50</v>
      </c>
      <c r="D345" s="3" t="s">
        <v>1725</v>
      </c>
      <c r="E345" s="3" t="s">
        <v>1698</v>
      </c>
      <c r="F345" s="3" t="s">
        <v>1293</v>
      </c>
      <c r="G345" s="15">
        <v>46133</v>
      </c>
      <c r="H345" s="16">
        <f t="shared" si="10"/>
        <v>275</v>
      </c>
      <c r="I345" s="16" t="str">
        <f t="shared" si="11"/>
        <v>241 à 365 dias</v>
      </c>
      <c r="J345" s="4">
        <v>7</v>
      </c>
      <c r="K345" s="8">
        <v>10558.67</v>
      </c>
      <c r="L345" s="6">
        <v>628.38</v>
      </c>
      <c r="M345" s="5">
        <v>11254.5</v>
      </c>
      <c r="N345" s="8">
        <v>31541.22</v>
      </c>
      <c r="O345" s="7">
        <v>149796.85999999999</v>
      </c>
      <c r="P345" s="3" t="s">
        <v>0</v>
      </c>
      <c r="Q345" s="3" t="s">
        <v>5</v>
      </c>
    </row>
    <row r="346" spans="1:17" x14ac:dyDescent="0.25">
      <c r="A346" s="3" t="s">
        <v>1726</v>
      </c>
      <c r="B346" s="3" t="s">
        <v>1727</v>
      </c>
      <c r="C346" s="3" t="s">
        <v>349</v>
      </c>
      <c r="D346" s="3" t="s">
        <v>1728</v>
      </c>
      <c r="E346" s="3" t="s">
        <v>1729</v>
      </c>
      <c r="F346" s="3" t="s">
        <v>1549</v>
      </c>
      <c r="G346" s="15">
        <v>46133</v>
      </c>
      <c r="H346" s="16">
        <f t="shared" si="10"/>
        <v>295</v>
      </c>
      <c r="I346" s="16" t="str">
        <f t="shared" si="11"/>
        <v>241 à 365 dias</v>
      </c>
      <c r="J346" s="11">
        <v>15</v>
      </c>
      <c r="K346" s="8">
        <v>28386.34</v>
      </c>
      <c r="L346" s="5">
        <v>2561.36</v>
      </c>
      <c r="M346" s="8">
        <v>30947.7</v>
      </c>
      <c r="N346" s="8">
        <v>78575.240000000005</v>
      </c>
      <c r="O346" s="7">
        <v>267951.44</v>
      </c>
      <c r="P346" s="3" t="s">
        <v>0</v>
      </c>
      <c r="Q346" s="3" t="s">
        <v>5</v>
      </c>
    </row>
    <row r="347" spans="1:17" x14ac:dyDescent="0.25">
      <c r="A347" s="3" t="s">
        <v>1730</v>
      </c>
      <c r="B347" s="3" t="s">
        <v>1731</v>
      </c>
      <c r="C347" s="3" t="s">
        <v>94</v>
      </c>
      <c r="D347" s="3" t="s">
        <v>1732</v>
      </c>
      <c r="E347" s="3" t="s">
        <v>1733</v>
      </c>
      <c r="F347" s="3" t="s">
        <v>1297</v>
      </c>
      <c r="G347" s="15">
        <v>46133</v>
      </c>
      <c r="H347" s="16">
        <f t="shared" si="10"/>
        <v>331</v>
      </c>
      <c r="I347" s="16" t="str">
        <f t="shared" si="11"/>
        <v>241 à 365 dias</v>
      </c>
      <c r="J347" s="11">
        <v>17</v>
      </c>
      <c r="K347" s="8">
        <v>13780.7</v>
      </c>
      <c r="L347" s="5">
        <v>1331.32</v>
      </c>
      <c r="M347" s="8">
        <v>15112.02</v>
      </c>
      <c r="N347" s="8">
        <v>33201.120000000003</v>
      </c>
      <c r="O347" s="7">
        <v>115308.75</v>
      </c>
      <c r="P347" s="3" t="s">
        <v>0</v>
      </c>
      <c r="Q347" s="3" t="s">
        <v>5</v>
      </c>
    </row>
    <row r="348" spans="1:17" x14ac:dyDescent="0.25">
      <c r="A348" s="3" t="s">
        <v>1734</v>
      </c>
      <c r="B348" s="3" t="s">
        <v>1735</v>
      </c>
      <c r="C348" s="3" t="s">
        <v>128</v>
      </c>
      <c r="D348" s="3" t="s">
        <v>1736</v>
      </c>
      <c r="E348" s="3" t="s">
        <v>1676</v>
      </c>
      <c r="F348" s="3" t="s">
        <v>1234</v>
      </c>
      <c r="G348" s="15">
        <v>46133</v>
      </c>
      <c r="H348" s="16">
        <f t="shared" si="10"/>
        <v>249</v>
      </c>
      <c r="I348" s="16" t="str">
        <f t="shared" si="11"/>
        <v>241 à 365 dias</v>
      </c>
      <c r="J348" s="4">
        <v>8</v>
      </c>
      <c r="K348" s="8">
        <v>19906.84</v>
      </c>
      <c r="L348" s="5">
        <v>1124.47</v>
      </c>
      <c r="M348" s="8">
        <v>21031.31</v>
      </c>
      <c r="N348" s="8">
        <v>99956.14</v>
      </c>
      <c r="O348" s="7">
        <v>531848.82999999996</v>
      </c>
      <c r="P348" s="3" t="s">
        <v>0</v>
      </c>
      <c r="Q348" s="3" t="s">
        <v>5</v>
      </c>
    </row>
    <row r="349" spans="1:17" x14ac:dyDescent="0.25">
      <c r="A349" s="3" t="s">
        <v>909</v>
      </c>
      <c r="B349" s="3" t="s">
        <v>1737</v>
      </c>
      <c r="C349" s="3" t="s">
        <v>120</v>
      </c>
      <c r="D349" s="3" t="s">
        <v>1738</v>
      </c>
      <c r="E349" s="3" t="s">
        <v>821</v>
      </c>
      <c r="F349" s="3" t="s">
        <v>74</v>
      </c>
      <c r="G349" s="15">
        <v>46133</v>
      </c>
      <c r="H349" s="16">
        <f t="shared" si="10"/>
        <v>251</v>
      </c>
      <c r="I349" s="16" t="str">
        <f t="shared" si="11"/>
        <v>241 à 365 dias</v>
      </c>
      <c r="J349" s="4">
        <v>5</v>
      </c>
      <c r="K349" s="5">
        <v>6675.04</v>
      </c>
      <c r="L349" s="6">
        <v>483.36</v>
      </c>
      <c r="M349" s="5">
        <v>7158.4</v>
      </c>
      <c r="N349" s="8">
        <v>91734.24</v>
      </c>
      <c r="O349" s="7">
        <v>236141.34</v>
      </c>
      <c r="P349" s="3" t="s">
        <v>0</v>
      </c>
      <c r="Q349" s="3" t="s">
        <v>5</v>
      </c>
    </row>
    <row r="350" spans="1:17" x14ac:dyDescent="0.25">
      <c r="A350" s="3" t="s">
        <v>775</v>
      </c>
      <c r="B350" s="3" t="s">
        <v>1739</v>
      </c>
      <c r="C350" s="3" t="s">
        <v>349</v>
      </c>
      <c r="D350" s="3" t="s">
        <v>1740</v>
      </c>
      <c r="E350" s="3" t="s">
        <v>1741</v>
      </c>
      <c r="F350" s="3" t="s">
        <v>1297</v>
      </c>
      <c r="G350" s="15">
        <v>46133</v>
      </c>
      <c r="H350" s="16">
        <f t="shared" si="10"/>
        <v>331</v>
      </c>
      <c r="I350" s="16" t="str">
        <f t="shared" si="11"/>
        <v>241 à 365 dias</v>
      </c>
      <c r="J350" s="4">
        <v>4</v>
      </c>
      <c r="K350" s="5">
        <v>5453.62</v>
      </c>
      <c r="L350" s="6">
        <v>633.16</v>
      </c>
      <c r="M350" s="5">
        <v>6086.78</v>
      </c>
      <c r="N350" s="8">
        <v>33543.82</v>
      </c>
      <c r="O350" s="7">
        <v>219209.12</v>
      </c>
      <c r="P350" s="3" t="s">
        <v>0</v>
      </c>
      <c r="Q350" s="3" t="s">
        <v>5</v>
      </c>
    </row>
    <row r="351" spans="1:17" x14ac:dyDescent="0.25">
      <c r="A351" s="3" t="s">
        <v>1742</v>
      </c>
      <c r="B351" s="3" t="s">
        <v>1743</v>
      </c>
      <c r="C351" s="3" t="s">
        <v>50</v>
      </c>
      <c r="D351" s="3" t="s">
        <v>1744</v>
      </c>
      <c r="E351" s="3" t="s">
        <v>1100</v>
      </c>
      <c r="F351" s="3" t="s">
        <v>1330</v>
      </c>
      <c r="G351" s="15">
        <v>46133</v>
      </c>
      <c r="H351" s="16">
        <f t="shared" si="10"/>
        <v>285</v>
      </c>
      <c r="I351" s="16" t="str">
        <f t="shared" si="11"/>
        <v>241 à 365 dias</v>
      </c>
      <c r="J351" s="4">
        <v>5</v>
      </c>
      <c r="K351" s="5">
        <v>4552.7</v>
      </c>
      <c r="L351" s="6">
        <v>351.72</v>
      </c>
      <c r="M351" s="5">
        <v>4924.32</v>
      </c>
      <c r="N351" s="8">
        <v>26726.25</v>
      </c>
      <c r="O351" s="7">
        <v>190302.86</v>
      </c>
      <c r="P351" s="3" t="s">
        <v>0</v>
      </c>
      <c r="Q351" s="3" t="s">
        <v>5</v>
      </c>
    </row>
    <row r="352" spans="1:17" x14ac:dyDescent="0.25">
      <c r="A352" s="3" t="s">
        <v>1745</v>
      </c>
      <c r="B352" s="3" t="s">
        <v>1746</v>
      </c>
      <c r="C352" s="3" t="s">
        <v>349</v>
      </c>
      <c r="D352" s="3" t="s">
        <v>1747</v>
      </c>
      <c r="E352" s="3" t="s">
        <v>143</v>
      </c>
      <c r="F352" s="3" t="s">
        <v>1635</v>
      </c>
      <c r="G352" s="15">
        <v>46133</v>
      </c>
      <c r="H352" s="16">
        <f t="shared" si="10"/>
        <v>290</v>
      </c>
      <c r="I352" s="16" t="str">
        <f t="shared" si="11"/>
        <v>241 à 365 dias</v>
      </c>
      <c r="J352" s="4">
        <v>2</v>
      </c>
      <c r="K352" s="5">
        <v>2652.64</v>
      </c>
      <c r="L352" s="6">
        <v>282.20999999999998</v>
      </c>
      <c r="M352" s="5">
        <v>2934.85</v>
      </c>
      <c r="N352" s="8">
        <v>82674.399999999994</v>
      </c>
      <c r="O352" s="7">
        <v>192768.21</v>
      </c>
      <c r="P352" s="3" t="s">
        <v>0</v>
      </c>
      <c r="Q352" s="3" t="s">
        <v>5</v>
      </c>
    </row>
    <row r="353" spans="1:17" x14ac:dyDescent="0.25">
      <c r="A353" s="3" t="s">
        <v>1748</v>
      </c>
      <c r="B353" s="3" t="s">
        <v>1749</v>
      </c>
      <c r="C353" s="3" t="s">
        <v>128</v>
      </c>
      <c r="D353" s="3" t="s">
        <v>1750</v>
      </c>
      <c r="E353" s="3" t="s">
        <v>1751</v>
      </c>
      <c r="F353" s="3" t="s">
        <v>530</v>
      </c>
      <c r="G353" s="15">
        <v>46133</v>
      </c>
      <c r="H353" s="16">
        <f t="shared" si="10"/>
        <v>346</v>
      </c>
      <c r="I353" s="16" t="str">
        <f t="shared" si="11"/>
        <v>241 à 365 dias</v>
      </c>
      <c r="J353" s="11">
        <v>28</v>
      </c>
      <c r="K353" s="8">
        <v>40387.480000000003</v>
      </c>
      <c r="L353" s="5">
        <v>3498.3</v>
      </c>
      <c r="M353" s="8">
        <v>43885.78</v>
      </c>
      <c r="N353" s="7">
        <v>132572.96</v>
      </c>
      <c r="O353" s="7">
        <v>238060.04</v>
      </c>
      <c r="P353" s="3" t="s">
        <v>0</v>
      </c>
      <c r="Q353" s="3" t="s">
        <v>5</v>
      </c>
    </row>
    <row r="354" spans="1:17" x14ac:dyDescent="0.25">
      <c r="A354" s="3" t="s">
        <v>1752</v>
      </c>
      <c r="B354" s="3" t="s">
        <v>1753</v>
      </c>
      <c r="C354" s="3" t="s">
        <v>128</v>
      </c>
      <c r="D354" s="3" t="s">
        <v>1754</v>
      </c>
      <c r="E354" s="3" t="s">
        <v>1596</v>
      </c>
      <c r="F354" s="3" t="s">
        <v>1293</v>
      </c>
      <c r="G354" s="15">
        <v>46133</v>
      </c>
      <c r="H354" s="16">
        <f t="shared" si="10"/>
        <v>275</v>
      </c>
      <c r="I354" s="16" t="str">
        <f t="shared" si="11"/>
        <v>241 à 365 dias</v>
      </c>
      <c r="J354" s="4">
        <v>9</v>
      </c>
      <c r="K354" s="8">
        <v>16143.07</v>
      </c>
      <c r="L354" s="5">
        <v>1023.5</v>
      </c>
      <c r="M354" s="8">
        <v>17166.57</v>
      </c>
      <c r="N354" s="8">
        <v>75687.12</v>
      </c>
      <c r="O354" s="7">
        <v>256697.28</v>
      </c>
      <c r="P354" s="3" t="s">
        <v>0</v>
      </c>
      <c r="Q354" s="3" t="s">
        <v>5</v>
      </c>
    </row>
    <row r="355" spans="1:17" x14ac:dyDescent="0.25">
      <c r="A355" s="3" t="s">
        <v>1755</v>
      </c>
      <c r="B355" s="3" t="s">
        <v>1756</v>
      </c>
      <c r="C355" s="3" t="s">
        <v>128</v>
      </c>
      <c r="D355" s="3" t="s">
        <v>1757</v>
      </c>
      <c r="E355" s="3" t="s">
        <v>1758</v>
      </c>
      <c r="F355" s="3" t="s">
        <v>1317</v>
      </c>
      <c r="G355" s="15">
        <v>46133</v>
      </c>
      <c r="H355" s="16">
        <f t="shared" si="10"/>
        <v>270</v>
      </c>
      <c r="I355" s="16" t="str">
        <f t="shared" si="11"/>
        <v>241 à 365 dias</v>
      </c>
      <c r="J355" s="4">
        <v>2</v>
      </c>
      <c r="K355" s="5">
        <v>4695.7700000000004</v>
      </c>
      <c r="L355" s="6">
        <v>323.33</v>
      </c>
      <c r="M355" s="5">
        <v>5019.1000000000004</v>
      </c>
      <c r="N355" s="7">
        <v>195028.65</v>
      </c>
      <c r="O355" s="8">
        <v>24068.17</v>
      </c>
      <c r="P355" s="3" t="s">
        <v>0</v>
      </c>
      <c r="Q355" s="3" t="s">
        <v>5</v>
      </c>
    </row>
    <row r="356" spans="1:17" x14ac:dyDescent="0.25">
      <c r="A356" s="3" t="s">
        <v>1759</v>
      </c>
      <c r="B356" s="3" t="s">
        <v>1760</v>
      </c>
      <c r="C356" s="3" t="s">
        <v>128</v>
      </c>
      <c r="D356" s="3" t="s">
        <v>1761</v>
      </c>
      <c r="E356" s="3" t="s">
        <v>1758</v>
      </c>
      <c r="F356" s="3" t="s">
        <v>1237</v>
      </c>
      <c r="G356" s="15">
        <v>46133</v>
      </c>
      <c r="H356" s="16">
        <f t="shared" si="10"/>
        <v>265</v>
      </c>
      <c r="I356" s="16" t="str">
        <f t="shared" si="11"/>
        <v>241 à 365 dias</v>
      </c>
      <c r="J356" s="4">
        <v>2</v>
      </c>
      <c r="K356" s="5">
        <v>4695.7700000000004</v>
      </c>
      <c r="L356" s="6">
        <v>315.51</v>
      </c>
      <c r="M356" s="5">
        <v>5011.28</v>
      </c>
      <c r="N356" s="7">
        <v>194526.1</v>
      </c>
      <c r="O356" s="8">
        <v>24068.17</v>
      </c>
      <c r="P356" s="3" t="s">
        <v>0</v>
      </c>
      <c r="Q356" s="3" t="s">
        <v>5</v>
      </c>
    </row>
    <row r="357" spans="1:17" x14ac:dyDescent="0.25">
      <c r="A357" s="3" t="s">
        <v>1762</v>
      </c>
      <c r="B357" s="3" t="s">
        <v>1763</v>
      </c>
      <c r="C357" s="3" t="s">
        <v>94</v>
      </c>
      <c r="D357" s="3" t="s">
        <v>1764</v>
      </c>
      <c r="E357" s="3" t="s">
        <v>1729</v>
      </c>
      <c r="F357" s="3" t="s">
        <v>1765</v>
      </c>
      <c r="G357" s="15">
        <v>46133</v>
      </c>
      <c r="H357" s="16">
        <f t="shared" si="10"/>
        <v>318</v>
      </c>
      <c r="I357" s="16" t="str">
        <f t="shared" si="11"/>
        <v>241 à 365 dias</v>
      </c>
      <c r="J357" s="11">
        <v>33</v>
      </c>
      <c r="K357" s="8">
        <v>15478.97</v>
      </c>
      <c r="L357" s="5">
        <v>1106.69</v>
      </c>
      <c r="M357" s="8">
        <v>16585.66</v>
      </c>
      <c r="N357" s="8">
        <v>33939.760000000002</v>
      </c>
      <c r="O357" s="7">
        <v>188346.39</v>
      </c>
      <c r="P357" s="3" t="s">
        <v>0</v>
      </c>
      <c r="Q357" s="3" t="s">
        <v>5</v>
      </c>
    </row>
    <row r="358" spans="1:17" x14ac:dyDescent="0.25">
      <c r="A358" s="3" t="s">
        <v>1766</v>
      </c>
      <c r="B358" s="3" t="s">
        <v>1767</v>
      </c>
      <c r="C358" s="3" t="s">
        <v>120</v>
      </c>
      <c r="D358" s="3" t="s">
        <v>1768</v>
      </c>
      <c r="E358" s="3" t="s">
        <v>1065</v>
      </c>
      <c r="F358" s="3" t="s">
        <v>1234</v>
      </c>
      <c r="G358" s="15">
        <v>46133</v>
      </c>
      <c r="H358" s="16">
        <f t="shared" si="10"/>
        <v>249</v>
      </c>
      <c r="I358" s="16" t="str">
        <f t="shared" si="11"/>
        <v>241 à 365 dias</v>
      </c>
      <c r="J358" s="4">
        <v>2</v>
      </c>
      <c r="K358" s="5">
        <v>4956.26</v>
      </c>
      <c r="L358" s="6">
        <v>512.49</v>
      </c>
      <c r="M358" s="5">
        <v>5468.75</v>
      </c>
      <c r="N358" s="8">
        <v>89183.88</v>
      </c>
      <c r="O358" s="7">
        <v>176506.78</v>
      </c>
      <c r="P358" s="3" t="s">
        <v>0</v>
      </c>
      <c r="Q358" s="3" t="s">
        <v>5</v>
      </c>
    </row>
    <row r="359" spans="1:17" x14ac:dyDescent="0.25">
      <c r="A359" s="3" t="s">
        <v>1769</v>
      </c>
      <c r="B359" s="3" t="s">
        <v>1770</v>
      </c>
      <c r="C359" s="3" t="s">
        <v>128</v>
      </c>
      <c r="D359" s="3" t="s">
        <v>1771</v>
      </c>
      <c r="E359" s="3" t="s">
        <v>170</v>
      </c>
      <c r="F359" s="3" t="s">
        <v>1309</v>
      </c>
      <c r="G359" s="15">
        <v>46133</v>
      </c>
      <c r="H359" s="16">
        <f t="shared" si="10"/>
        <v>315</v>
      </c>
      <c r="I359" s="16" t="str">
        <f t="shared" si="11"/>
        <v>241 à 365 dias</v>
      </c>
      <c r="J359" s="11">
        <v>21</v>
      </c>
      <c r="K359" s="8">
        <v>38579.9</v>
      </c>
      <c r="L359" s="5">
        <v>2852.49</v>
      </c>
      <c r="M359" s="8">
        <v>41432.39</v>
      </c>
      <c r="N359" s="7">
        <v>112676.73</v>
      </c>
      <c r="O359" s="7">
        <v>123858.77</v>
      </c>
      <c r="P359" s="3" t="s">
        <v>0</v>
      </c>
      <c r="Q359" s="3" t="s">
        <v>5</v>
      </c>
    </row>
    <row r="360" spans="1:17" x14ac:dyDescent="0.25">
      <c r="A360" s="3" t="s">
        <v>1772</v>
      </c>
      <c r="B360" s="3" t="s">
        <v>1773</v>
      </c>
      <c r="C360" s="3" t="s">
        <v>37</v>
      </c>
      <c r="D360" s="3" t="s">
        <v>1774</v>
      </c>
      <c r="E360" s="3" t="s">
        <v>1775</v>
      </c>
      <c r="F360" s="3" t="s">
        <v>161</v>
      </c>
      <c r="G360" s="15">
        <v>46133</v>
      </c>
      <c r="H360" s="16">
        <f t="shared" si="10"/>
        <v>280</v>
      </c>
      <c r="I360" s="16" t="str">
        <f t="shared" si="11"/>
        <v>241 à 365 dias</v>
      </c>
      <c r="J360" s="11">
        <v>13</v>
      </c>
      <c r="K360" s="5">
        <v>4418.6099999999997</v>
      </c>
      <c r="L360" s="6">
        <v>294.11</v>
      </c>
      <c r="M360" s="5">
        <v>4712.72</v>
      </c>
      <c r="N360" s="8">
        <v>14960.82</v>
      </c>
      <c r="O360" s="8">
        <v>97702.05</v>
      </c>
      <c r="P360" s="3" t="s">
        <v>0</v>
      </c>
      <c r="Q360" s="3" t="s">
        <v>5</v>
      </c>
    </row>
    <row r="361" spans="1:17" x14ac:dyDescent="0.25">
      <c r="A361" s="3" t="s">
        <v>1776</v>
      </c>
      <c r="B361" s="3" t="s">
        <v>1777</v>
      </c>
      <c r="C361" s="3" t="s">
        <v>50</v>
      </c>
      <c r="D361" s="3" t="s">
        <v>1778</v>
      </c>
      <c r="E361" s="3" t="s">
        <v>400</v>
      </c>
      <c r="F361" s="3" t="s">
        <v>1635</v>
      </c>
      <c r="G361" s="15">
        <v>46133</v>
      </c>
      <c r="H361" s="16">
        <f t="shared" si="10"/>
        <v>290</v>
      </c>
      <c r="I361" s="16" t="str">
        <f t="shared" si="11"/>
        <v>241 à 365 dias</v>
      </c>
      <c r="J361" s="4">
        <v>4</v>
      </c>
      <c r="K361" s="5">
        <v>5866.39</v>
      </c>
      <c r="L361" s="6">
        <v>416.45</v>
      </c>
      <c r="M361" s="5">
        <v>6341.41</v>
      </c>
      <c r="N361" s="8">
        <v>21783.32</v>
      </c>
      <c r="O361" s="7">
        <v>245025.45</v>
      </c>
      <c r="P361" s="3" t="s">
        <v>0</v>
      </c>
      <c r="Q361" s="3" t="s">
        <v>5</v>
      </c>
    </row>
    <row r="362" spans="1:17" x14ac:dyDescent="0.25">
      <c r="A362" s="3" t="s">
        <v>1779</v>
      </c>
      <c r="B362" s="3" t="s">
        <v>1780</v>
      </c>
      <c r="C362" s="3" t="s">
        <v>94</v>
      </c>
      <c r="D362" s="3" t="s">
        <v>1781</v>
      </c>
      <c r="E362" s="3" t="s">
        <v>1782</v>
      </c>
      <c r="F362" s="3" t="s">
        <v>1293</v>
      </c>
      <c r="G362" s="15">
        <v>46133</v>
      </c>
      <c r="H362" s="16">
        <f t="shared" si="10"/>
        <v>275</v>
      </c>
      <c r="I362" s="16" t="str">
        <f t="shared" si="11"/>
        <v>241 à 365 dias</v>
      </c>
      <c r="J362" s="4">
        <v>5</v>
      </c>
      <c r="K362" s="5">
        <v>3730.95</v>
      </c>
      <c r="L362" s="6">
        <v>229.07</v>
      </c>
      <c r="M362" s="5">
        <v>3960.02</v>
      </c>
      <c r="N362" s="5">
        <v>7530.75</v>
      </c>
      <c r="O362" s="7">
        <v>129090.87</v>
      </c>
      <c r="P362" s="3" t="s">
        <v>0</v>
      </c>
      <c r="Q362" s="3" t="s">
        <v>5</v>
      </c>
    </row>
    <row r="363" spans="1:17" x14ac:dyDescent="0.25">
      <c r="A363" s="3" t="s">
        <v>584</v>
      </c>
      <c r="B363" s="3" t="s">
        <v>1780</v>
      </c>
      <c r="C363" s="3" t="s">
        <v>94</v>
      </c>
      <c r="D363" s="3" t="s">
        <v>1783</v>
      </c>
      <c r="E363" s="3" t="s">
        <v>1784</v>
      </c>
      <c r="F363" s="3" t="s">
        <v>1352</v>
      </c>
      <c r="G363" s="15">
        <v>46133</v>
      </c>
      <c r="H363" s="16">
        <f t="shared" si="10"/>
        <v>336</v>
      </c>
      <c r="I363" s="16" t="str">
        <f t="shared" si="11"/>
        <v>241 à 365 dias</v>
      </c>
      <c r="J363" s="4">
        <v>5</v>
      </c>
      <c r="K363" s="5">
        <v>3845.6</v>
      </c>
      <c r="L363" s="6">
        <v>315.58999999999997</v>
      </c>
      <c r="M363" s="5">
        <v>4161.1899999999996</v>
      </c>
      <c r="N363" s="5">
        <v>6152.96</v>
      </c>
      <c r="O363" s="7">
        <v>132288.64000000001</v>
      </c>
      <c r="P363" s="3" t="s">
        <v>0</v>
      </c>
      <c r="Q363" s="3" t="s">
        <v>5</v>
      </c>
    </row>
    <row r="364" spans="1:17" x14ac:dyDescent="0.25">
      <c r="A364" s="3" t="s">
        <v>1785</v>
      </c>
      <c r="B364" s="3" t="s">
        <v>1786</v>
      </c>
      <c r="C364" s="3" t="s">
        <v>128</v>
      </c>
      <c r="D364" s="3" t="s">
        <v>1787</v>
      </c>
      <c r="E364" s="3" t="s">
        <v>461</v>
      </c>
      <c r="F364" s="3" t="s">
        <v>102</v>
      </c>
      <c r="G364" s="15">
        <v>46133</v>
      </c>
      <c r="H364" s="16">
        <f t="shared" si="10"/>
        <v>300</v>
      </c>
      <c r="I364" s="16" t="str">
        <f t="shared" si="11"/>
        <v>241 à 365 dias</v>
      </c>
      <c r="J364" s="11">
        <v>32</v>
      </c>
      <c r="K364" s="8">
        <v>67832.31</v>
      </c>
      <c r="L364" s="5">
        <v>5333.27</v>
      </c>
      <c r="M364" s="8">
        <v>73165.58</v>
      </c>
      <c r="N364" s="8">
        <v>83000.08</v>
      </c>
      <c r="O364" s="7">
        <v>731042.61</v>
      </c>
      <c r="P364" s="3" t="s">
        <v>0</v>
      </c>
      <c r="Q364" s="3" t="s">
        <v>5</v>
      </c>
    </row>
    <row r="365" spans="1:17" x14ac:dyDescent="0.25">
      <c r="A365" s="3" t="s">
        <v>1788</v>
      </c>
      <c r="B365" s="3" t="s">
        <v>1789</v>
      </c>
      <c r="C365" s="3" t="s">
        <v>128</v>
      </c>
      <c r="D365" s="3" t="s">
        <v>1790</v>
      </c>
      <c r="E365" s="3" t="s">
        <v>1204</v>
      </c>
      <c r="F365" s="3" t="s">
        <v>1681</v>
      </c>
      <c r="G365" s="15">
        <v>46133</v>
      </c>
      <c r="H365" s="16">
        <f t="shared" si="10"/>
        <v>264</v>
      </c>
      <c r="I365" s="16" t="str">
        <f t="shared" si="11"/>
        <v>241 à 365 dias</v>
      </c>
      <c r="J365" s="4">
        <v>1</v>
      </c>
      <c r="K365" s="5">
        <v>2377.5</v>
      </c>
      <c r="L365" s="6">
        <v>260.3</v>
      </c>
      <c r="M365" s="5">
        <v>2637.8</v>
      </c>
      <c r="N365" s="7">
        <v>157762.04999999999</v>
      </c>
      <c r="O365" s="8">
        <v>88913.62</v>
      </c>
      <c r="P365" s="3" t="s">
        <v>0</v>
      </c>
      <c r="Q365" s="3" t="s">
        <v>5</v>
      </c>
    </row>
    <row r="366" spans="1:17" x14ac:dyDescent="0.25">
      <c r="A366" s="3" t="s">
        <v>1791</v>
      </c>
      <c r="B366" s="3" t="s">
        <v>1792</v>
      </c>
      <c r="C366" s="3" t="s">
        <v>25</v>
      </c>
      <c r="D366" s="3" t="s">
        <v>1793</v>
      </c>
      <c r="E366" s="3" t="s">
        <v>420</v>
      </c>
      <c r="F366" s="3" t="s">
        <v>1305</v>
      </c>
      <c r="G366" s="15">
        <v>46133</v>
      </c>
      <c r="H366" s="16">
        <f t="shared" si="10"/>
        <v>254</v>
      </c>
      <c r="I366" s="16" t="str">
        <f t="shared" si="11"/>
        <v>241 à 365 dias</v>
      </c>
      <c r="J366" s="4">
        <v>2</v>
      </c>
      <c r="K366" s="5">
        <v>1785.92</v>
      </c>
      <c r="L366" s="6">
        <v>115.01</v>
      </c>
      <c r="M366" s="5">
        <v>1900.93</v>
      </c>
      <c r="N366" s="8">
        <v>63622.03</v>
      </c>
      <c r="O366" s="8">
        <v>34825.440000000002</v>
      </c>
      <c r="P366" s="3" t="s">
        <v>0</v>
      </c>
      <c r="Q366" s="3" t="s">
        <v>5</v>
      </c>
    </row>
    <row r="367" spans="1:17" x14ac:dyDescent="0.25">
      <c r="A367" s="3" t="s">
        <v>1794</v>
      </c>
      <c r="B367" s="3" t="s">
        <v>1795</v>
      </c>
      <c r="C367" s="3" t="s">
        <v>194</v>
      </c>
      <c r="D367" s="3" t="s">
        <v>1796</v>
      </c>
      <c r="E367" s="3" t="s">
        <v>1797</v>
      </c>
      <c r="F367" s="3" t="s">
        <v>1798</v>
      </c>
      <c r="G367" s="15">
        <v>46133</v>
      </c>
      <c r="H367" s="16">
        <f t="shared" si="10"/>
        <v>287</v>
      </c>
      <c r="I367" s="16" t="str">
        <f t="shared" si="11"/>
        <v>241 à 365 dias</v>
      </c>
      <c r="J367" s="4">
        <v>8</v>
      </c>
      <c r="K367" s="8">
        <v>26176.880000000001</v>
      </c>
      <c r="L367" s="5">
        <v>1931.17</v>
      </c>
      <c r="M367" s="8">
        <v>28108.05</v>
      </c>
      <c r="N367" s="7">
        <v>135049.88</v>
      </c>
      <c r="O367" s="7">
        <v>379865.18</v>
      </c>
      <c r="P367" s="3" t="s">
        <v>0</v>
      </c>
      <c r="Q367" s="3" t="s">
        <v>5</v>
      </c>
    </row>
    <row r="368" spans="1:17" x14ac:dyDescent="0.25">
      <c r="A368" s="3" t="s">
        <v>1343</v>
      </c>
      <c r="B368" s="3" t="s">
        <v>1799</v>
      </c>
      <c r="C368" s="3" t="s">
        <v>194</v>
      </c>
      <c r="D368" s="3" t="s">
        <v>1800</v>
      </c>
      <c r="E368" s="3" t="s">
        <v>446</v>
      </c>
      <c r="F368" s="3" t="s">
        <v>1317</v>
      </c>
      <c r="G368" s="15">
        <v>46133</v>
      </c>
      <c r="H368" s="16">
        <f t="shared" si="10"/>
        <v>270</v>
      </c>
      <c r="I368" s="16" t="str">
        <f t="shared" si="11"/>
        <v>241 à 365 dias</v>
      </c>
      <c r="J368" s="11">
        <v>25</v>
      </c>
      <c r="K368" s="8">
        <v>32209.84</v>
      </c>
      <c r="L368" s="5">
        <v>2304.16</v>
      </c>
      <c r="M368" s="8">
        <v>34514</v>
      </c>
      <c r="N368" s="7">
        <v>128750.66</v>
      </c>
      <c r="O368" s="7">
        <v>378917.34</v>
      </c>
      <c r="P368" s="3" t="s">
        <v>0</v>
      </c>
      <c r="Q368" s="3" t="s">
        <v>5</v>
      </c>
    </row>
    <row r="369" spans="1:17" x14ac:dyDescent="0.25">
      <c r="A369" s="3" t="s">
        <v>1801</v>
      </c>
      <c r="B369" s="3" t="s">
        <v>1802</v>
      </c>
      <c r="C369" s="3" t="s">
        <v>128</v>
      </c>
      <c r="D369" s="3" t="s">
        <v>1803</v>
      </c>
      <c r="E369" s="3" t="s">
        <v>1804</v>
      </c>
      <c r="F369" s="3" t="s">
        <v>1237</v>
      </c>
      <c r="G369" s="15">
        <v>46133</v>
      </c>
      <c r="H369" s="16">
        <f t="shared" si="10"/>
        <v>265</v>
      </c>
      <c r="I369" s="16" t="str">
        <f t="shared" si="11"/>
        <v>241 à 365 dias</v>
      </c>
      <c r="J369" s="4">
        <v>5</v>
      </c>
      <c r="K369" s="5">
        <v>7321.15</v>
      </c>
      <c r="L369" s="6">
        <v>504.35</v>
      </c>
      <c r="M369" s="5">
        <v>7825.5</v>
      </c>
      <c r="N369" s="7">
        <v>135365.92000000001</v>
      </c>
      <c r="O369" s="8">
        <v>39534.21</v>
      </c>
      <c r="P369" s="3" t="s">
        <v>0</v>
      </c>
      <c r="Q369" s="3" t="s">
        <v>5</v>
      </c>
    </row>
    <row r="370" spans="1:17" x14ac:dyDescent="0.25">
      <c r="A370" s="3" t="s">
        <v>1805</v>
      </c>
      <c r="B370" s="3" t="s">
        <v>1806</v>
      </c>
      <c r="C370" s="3" t="s">
        <v>164</v>
      </c>
      <c r="D370" s="3" t="s">
        <v>1807</v>
      </c>
      <c r="E370" s="3" t="s">
        <v>117</v>
      </c>
      <c r="F370" s="3" t="s">
        <v>1297</v>
      </c>
      <c r="G370" s="15">
        <v>46133</v>
      </c>
      <c r="H370" s="16">
        <f t="shared" si="10"/>
        <v>331</v>
      </c>
      <c r="I370" s="16" t="str">
        <f t="shared" si="11"/>
        <v>241 à 365 dias</v>
      </c>
      <c r="J370" s="4">
        <v>4</v>
      </c>
      <c r="K370" s="5">
        <v>5991.71</v>
      </c>
      <c r="L370" s="6">
        <v>690.8</v>
      </c>
      <c r="M370" s="5">
        <v>6682.51</v>
      </c>
      <c r="N370" s="8">
        <v>12183.39</v>
      </c>
      <c r="O370" s="7">
        <v>170380.72</v>
      </c>
      <c r="P370" s="3" t="s">
        <v>0</v>
      </c>
      <c r="Q370" s="3" t="s">
        <v>5</v>
      </c>
    </row>
    <row r="371" spans="1:17" x14ac:dyDescent="0.25">
      <c r="A371" s="3" t="s">
        <v>1808</v>
      </c>
      <c r="B371" s="3" t="s">
        <v>1809</v>
      </c>
      <c r="C371" s="3" t="s">
        <v>37</v>
      </c>
      <c r="D371" s="3" t="s">
        <v>1810</v>
      </c>
      <c r="E371" s="3" t="s">
        <v>295</v>
      </c>
      <c r="F371" s="3" t="s">
        <v>1234</v>
      </c>
      <c r="G371" s="15">
        <v>46133</v>
      </c>
      <c r="H371" s="16">
        <f t="shared" si="10"/>
        <v>249</v>
      </c>
      <c r="I371" s="16" t="str">
        <f t="shared" si="11"/>
        <v>241 à 365 dias</v>
      </c>
      <c r="J371" s="4">
        <v>2</v>
      </c>
      <c r="K371" s="5">
        <v>1674.45</v>
      </c>
      <c r="L371" s="6">
        <v>104.37</v>
      </c>
      <c r="M371" s="5">
        <v>1778.82</v>
      </c>
      <c r="N371" s="8">
        <v>39952.18</v>
      </c>
      <c r="O371" s="8">
        <v>87357.45</v>
      </c>
      <c r="P371" s="3" t="s">
        <v>0</v>
      </c>
      <c r="Q371" s="3" t="s">
        <v>5</v>
      </c>
    </row>
    <row r="372" spans="1:17" x14ac:dyDescent="0.25">
      <c r="A372" s="3" t="s">
        <v>1811</v>
      </c>
      <c r="B372" s="3" t="s">
        <v>1812</v>
      </c>
      <c r="C372" s="3" t="s">
        <v>37</v>
      </c>
      <c r="D372" s="3" t="s">
        <v>1813</v>
      </c>
      <c r="E372" s="3" t="s">
        <v>1814</v>
      </c>
      <c r="F372" s="3" t="s">
        <v>1234</v>
      </c>
      <c r="G372" s="15">
        <v>46133</v>
      </c>
      <c r="H372" s="16">
        <f t="shared" si="10"/>
        <v>249</v>
      </c>
      <c r="I372" s="16" t="str">
        <f t="shared" si="11"/>
        <v>241 à 365 dias</v>
      </c>
      <c r="J372" s="4">
        <v>6</v>
      </c>
      <c r="K372" s="5">
        <v>1939.63</v>
      </c>
      <c r="L372" s="9">
        <v>73.12</v>
      </c>
      <c r="M372" s="5">
        <v>2012.75</v>
      </c>
      <c r="N372" s="8">
        <v>11148.89</v>
      </c>
      <c r="O372" s="8">
        <v>79201.539999999994</v>
      </c>
      <c r="P372" s="3" t="s">
        <v>0</v>
      </c>
      <c r="Q372" s="3" t="s">
        <v>5</v>
      </c>
    </row>
    <row r="373" spans="1:17" x14ac:dyDescent="0.25">
      <c r="A373" s="3" t="s">
        <v>1815</v>
      </c>
      <c r="B373" s="3" t="s">
        <v>1816</v>
      </c>
      <c r="C373" s="3" t="s">
        <v>128</v>
      </c>
      <c r="D373" s="3" t="s">
        <v>1817</v>
      </c>
      <c r="E373" s="3" t="s">
        <v>1818</v>
      </c>
      <c r="F373" s="3" t="s">
        <v>1549</v>
      </c>
      <c r="G373" s="15">
        <v>46133</v>
      </c>
      <c r="H373" s="16">
        <f t="shared" si="10"/>
        <v>295</v>
      </c>
      <c r="I373" s="16" t="str">
        <f t="shared" si="11"/>
        <v>241 à 365 dias</v>
      </c>
      <c r="J373" s="4">
        <v>2</v>
      </c>
      <c r="K373" s="5">
        <v>4720.1000000000004</v>
      </c>
      <c r="L373" s="6">
        <v>535.52</v>
      </c>
      <c r="M373" s="5">
        <v>5255.62</v>
      </c>
      <c r="N373" s="7">
        <v>161433.29999999999</v>
      </c>
      <c r="O373" s="7">
        <v>243494.16</v>
      </c>
      <c r="P373" s="3" t="s">
        <v>0</v>
      </c>
      <c r="Q373" s="3" t="s">
        <v>5</v>
      </c>
    </row>
    <row r="374" spans="1:17" x14ac:dyDescent="0.25">
      <c r="A374" s="3" t="s">
        <v>1819</v>
      </c>
      <c r="B374" s="3" t="s">
        <v>1820</v>
      </c>
      <c r="C374" s="3" t="s">
        <v>94</v>
      </c>
      <c r="D374" s="3" t="s">
        <v>1821</v>
      </c>
      <c r="E374" s="3" t="s">
        <v>1822</v>
      </c>
      <c r="F374" s="3" t="s">
        <v>161</v>
      </c>
      <c r="G374" s="15">
        <v>46133</v>
      </c>
      <c r="H374" s="16">
        <f t="shared" si="10"/>
        <v>280</v>
      </c>
      <c r="I374" s="16" t="str">
        <f t="shared" si="11"/>
        <v>241 à 365 dias</v>
      </c>
      <c r="J374" s="4">
        <v>5</v>
      </c>
      <c r="K374" s="8">
        <v>11655.36</v>
      </c>
      <c r="L374" s="5">
        <v>1279.46</v>
      </c>
      <c r="M374" s="8">
        <v>12934.82</v>
      </c>
      <c r="N374" s="8">
        <v>17701.16</v>
      </c>
      <c r="O374" s="7">
        <v>125610.84</v>
      </c>
      <c r="P374" s="3" t="s">
        <v>0</v>
      </c>
      <c r="Q374" s="3" t="s">
        <v>5</v>
      </c>
    </row>
    <row r="375" spans="1:17" x14ac:dyDescent="0.25">
      <c r="A375" s="3" t="s">
        <v>1823</v>
      </c>
      <c r="B375" s="3" t="s">
        <v>1824</v>
      </c>
      <c r="C375" s="3" t="s">
        <v>128</v>
      </c>
      <c r="D375" s="3" t="s">
        <v>1825</v>
      </c>
      <c r="E375" s="3" t="s">
        <v>1826</v>
      </c>
      <c r="F375" s="3" t="s">
        <v>554</v>
      </c>
      <c r="G375" s="15">
        <v>46133</v>
      </c>
      <c r="H375" s="16">
        <f t="shared" si="10"/>
        <v>259</v>
      </c>
      <c r="I375" s="16" t="str">
        <f t="shared" si="11"/>
        <v>241 à 365 dias</v>
      </c>
      <c r="J375" s="4">
        <v>5</v>
      </c>
      <c r="K375" s="8">
        <v>12555.8</v>
      </c>
      <c r="L375" s="6">
        <v>723.27</v>
      </c>
      <c r="M375" s="8">
        <v>13279.07</v>
      </c>
      <c r="N375" s="7">
        <v>164419.57999999999</v>
      </c>
      <c r="O375" s="7">
        <v>195870.48</v>
      </c>
      <c r="P375" s="3" t="s">
        <v>0</v>
      </c>
      <c r="Q375" s="3" t="s">
        <v>5</v>
      </c>
    </row>
    <row r="376" spans="1:17" x14ac:dyDescent="0.25">
      <c r="A376" s="3" t="s">
        <v>1827</v>
      </c>
      <c r="B376" s="3" t="s">
        <v>1828</v>
      </c>
      <c r="C376" s="3" t="s">
        <v>37</v>
      </c>
      <c r="D376" s="3" t="s">
        <v>1829</v>
      </c>
      <c r="E376" s="3" t="s">
        <v>319</v>
      </c>
      <c r="F376" s="3" t="s">
        <v>161</v>
      </c>
      <c r="G376" s="15">
        <v>46133</v>
      </c>
      <c r="H376" s="16">
        <f t="shared" si="10"/>
        <v>280</v>
      </c>
      <c r="I376" s="16" t="str">
        <f t="shared" si="11"/>
        <v>241 à 365 dias</v>
      </c>
      <c r="J376" s="4">
        <v>7</v>
      </c>
      <c r="K376" s="5">
        <v>4261.79</v>
      </c>
      <c r="L376" s="6">
        <v>230.18</v>
      </c>
      <c r="M376" s="5">
        <v>4491.97</v>
      </c>
      <c r="N376" s="5">
        <v>5366.53</v>
      </c>
      <c r="O376" s="7">
        <v>153515.54</v>
      </c>
      <c r="P376" s="3" t="s">
        <v>0</v>
      </c>
      <c r="Q376" s="3" t="s">
        <v>5</v>
      </c>
    </row>
    <row r="377" spans="1:17" x14ac:dyDescent="0.25">
      <c r="A377" s="3" t="s">
        <v>1830</v>
      </c>
      <c r="B377" s="3" t="s">
        <v>1831</v>
      </c>
      <c r="C377" s="3" t="s">
        <v>50</v>
      </c>
      <c r="D377" s="3" t="s">
        <v>1832</v>
      </c>
      <c r="E377" s="3" t="s">
        <v>1833</v>
      </c>
      <c r="F377" s="3" t="s">
        <v>1234</v>
      </c>
      <c r="G377" s="15">
        <v>46133</v>
      </c>
      <c r="H377" s="16">
        <f t="shared" si="10"/>
        <v>249</v>
      </c>
      <c r="I377" s="16" t="str">
        <f t="shared" si="11"/>
        <v>241 à 365 dias</v>
      </c>
      <c r="J377" s="4">
        <v>4</v>
      </c>
      <c r="K377" s="5">
        <v>5252.04</v>
      </c>
      <c r="L377" s="6">
        <v>279.68</v>
      </c>
      <c r="M377" s="5">
        <v>5586.64</v>
      </c>
      <c r="N377" s="8">
        <v>34895.730000000003</v>
      </c>
      <c r="O377" s="7">
        <v>120796.92</v>
      </c>
      <c r="P377" s="3" t="s">
        <v>0</v>
      </c>
      <c r="Q377" s="3" t="s">
        <v>5</v>
      </c>
    </row>
    <row r="378" spans="1:17" x14ac:dyDescent="0.25">
      <c r="A378" s="3" t="s">
        <v>1834</v>
      </c>
      <c r="B378" s="3" t="s">
        <v>1835</v>
      </c>
      <c r="C378" s="3" t="s">
        <v>50</v>
      </c>
      <c r="D378" s="3" t="s">
        <v>1836</v>
      </c>
      <c r="E378" s="3" t="s">
        <v>1837</v>
      </c>
      <c r="F378" s="3" t="s">
        <v>1305</v>
      </c>
      <c r="G378" s="15">
        <v>46133</v>
      </c>
      <c r="H378" s="16">
        <f t="shared" si="10"/>
        <v>254</v>
      </c>
      <c r="I378" s="16" t="str">
        <f t="shared" si="11"/>
        <v>241 à 365 dias</v>
      </c>
      <c r="J378" s="4">
        <v>8</v>
      </c>
      <c r="K378" s="8">
        <v>10413.68</v>
      </c>
      <c r="L378" s="6">
        <v>565.80999999999995</v>
      </c>
      <c r="M378" s="5">
        <v>11081.26</v>
      </c>
      <c r="N378" s="5">
        <v>5413.45</v>
      </c>
      <c r="O378" s="7">
        <v>229100.96</v>
      </c>
      <c r="P378" s="3" t="s">
        <v>0</v>
      </c>
      <c r="Q378" s="3" t="s">
        <v>5</v>
      </c>
    </row>
    <row r="379" spans="1:17" x14ac:dyDescent="0.25">
      <c r="A379" s="3" t="s">
        <v>1838</v>
      </c>
      <c r="B379" s="3" t="s">
        <v>593</v>
      </c>
      <c r="C379" s="3" t="s">
        <v>128</v>
      </c>
      <c r="D379" s="3" t="s">
        <v>1839</v>
      </c>
      <c r="E379" s="3" t="s">
        <v>595</v>
      </c>
      <c r="F379" s="3" t="s">
        <v>1317</v>
      </c>
      <c r="G379" s="15">
        <v>46133</v>
      </c>
      <c r="H379" s="16">
        <f t="shared" si="10"/>
        <v>270</v>
      </c>
      <c r="I379" s="16" t="str">
        <f t="shared" si="11"/>
        <v>241 à 365 dias</v>
      </c>
      <c r="J379" s="11">
        <v>12</v>
      </c>
      <c r="K379" s="5">
        <v>9167.0300000000007</v>
      </c>
      <c r="L379" s="6">
        <v>656.29</v>
      </c>
      <c r="M379" s="5">
        <v>9823.32</v>
      </c>
      <c r="N379" s="8">
        <v>25690.65</v>
      </c>
      <c r="O379" s="7">
        <v>241549.69</v>
      </c>
      <c r="P379" s="3" t="s">
        <v>0</v>
      </c>
      <c r="Q379" s="3" t="s">
        <v>5</v>
      </c>
    </row>
    <row r="380" spans="1:17" x14ac:dyDescent="0.25">
      <c r="A380" s="3" t="s">
        <v>1840</v>
      </c>
      <c r="B380" s="3" t="s">
        <v>1841</v>
      </c>
      <c r="C380" s="3" t="s">
        <v>94</v>
      </c>
      <c r="D380" s="3" t="s">
        <v>1842</v>
      </c>
      <c r="E380" s="3" t="s">
        <v>894</v>
      </c>
      <c r="F380" s="3" t="s">
        <v>1317</v>
      </c>
      <c r="G380" s="15">
        <v>46133</v>
      </c>
      <c r="H380" s="16">
        <f t="shared" si="10"/>
        <v>270</v>
      </c>
      <c r="I380" s="16" t="str">
        <f t="shared" si="11"/>
        <v>241 à 365 dias</v>
      </c>
      <c r="J380" s="4">
        <v>1</v>
      </c>
      <c r="K380" s="6">
        <v>742.47</v>
      </c>
      <c r="L380" s="9">
        <v>81.760000000000005</v>
      </c>
      <c r="M380" s="6">
        <v>824.23</v>
      </c>
      <c r="N380" s="8">
        <v>14831.79</v>
      </c>
      <c r="O380" s="7">
        <v>162600.93</v>
      </c>
      <c r="P380" s="3" t="s">
        <v>0</v>
      </c>
      <c r="Q380" s="3" t="s">
        <v>5</v>
      </c>
    </row>
    <row r="381" spans="1:17" x14ac:dyDescent="0.25">
      <c r="A381" s="3" t="s">
        <v>1843</v>
      </c>
      <c r="B381" s="3" t="s">
        <v>1844</v>
      </c>
      <c r="C381" s="3" t="s">
        <v>164</v>
      </c>
      <c r="D381" s="3" t="s">
        <v>1845</v>
      </c>
      <c r="E381" s="3" t="s">
        <v>1846</v>
      </c>
      <c r="F381" s="3" t="s">
        <v>1846</v>
      </c>
      <c r="G381" s="15">
        <v>46133</v>
      </c>
      <c r="H381" s="16">
        <f t="shared" si="10"/>
        <v>296</v>
      </c>
      <c r="I381" s="16" t="str">
        <f t="shared" si="11"/>
        <v>241 à 365 dias</v>
      </c>
      <c r="J381" s="4">
        <v>1</v>
      </c>
      <c r="K381" s="5">
        <v>1000</v>
      </c>
      <c r="L381" s="6">
        <v>118.67</v>
      </c>
      <c r="M381" s="5">
        <v>1118.67</v>
      </c>
      <c r="N381" s="8">
        <v>23148.31</v>
      </c>
      <c r="O381" s="7">
        <v>100026.4</v>
      </c>
      <c r="P381" s="3" t="s">
        <v>0</v>
      </c>
      <c r="Q381" s="3" t="s">
        <v>5</v>
      </c>
    </row>
    <row r="382" spans="1:17" x14ac:dyDescent="0.25">
      <c r="A382" s="3" t="s">
        <v>1682</v>
      </c>
      <c r="B382" s="3" t="s">
        <v>1847</v>
      </c>
      <c r="C382" s="3" t="s">
        <v>37</v>
      </c>
      <c r="D382" s="3" t="s">
        <v>1848</v>
      </c>
      <c r="E382" s="3" t="s">
        <v>1849</v>
      </c>
      <c r="F382" s="3" t="s">
        <v>1234</v>
      </c>
      <c r="G382" s="15">
        <v>46133</v>
      </c>
      <c r="H382" s="16">
        <f t="shared" si="10"/>
        <v>249</v>
      </c>
      <c r="I382" s="16" t="str">
        <f t="shared" si="11"/>
        <v>241 à 365 dias</v>
      </c>
      <c r="J382" s="4">
        <v>7</v>
      </c>
      <c r="K382" s="5">
        <v>2706.04</v>
      </c>
      <c r="L382" s="6">
        <v>155.11000000000001</v>
      </c>
      <c r="M382" s="5">
        <v>2861.15</v>
      </c>
      <c r="N382" s="8">
        <v>14848.48</v>
      </c>
      <c r="O382" s="8">
        <v>79713.47</v>
      </c>
      <c r="P382" s="3" t="s">
        <v>0</v>
      </c>
      <c r="Q382" s="3" t="s">
        <v>5</v>
      </c>
    </row>
    <row r="383" spans="1:17" x14ac:dyDescent="0.25">
      <c r="A383" s="3" t="s">
        <v>1850</v>
      </c>
      <c r="B383" s="3" t="s">
        <v>1851</v>
      </c>
      <c r="C383" s="3" t="s">
        <v>128</v>
      </c>
      <c r="D383" s="3" t="s">
        <v>1852</v>
      </c>
      <c r="E383" s="3" t="s">
        <v>1853</v>
      </c>
      <c r="F383" s="3" t="s">
        <v>1549</v>
      </c>
      <c r="G383" s="15">
        <v>46133</v>
      </c>
      <c r="H383" s="16">
        <f t="shared" si="10"/>
        <v>295</v>
      </c>
      <c r="I383" s="16" t="str">
        <f t="shared" si="11"/>
        <v>241 à 365 dias</v>
      </c>
      <c r="J383" s="11">
        <v>31</v>
      </c>
      <c r="K383" s="8">
        <v>70234.759999999995</v>
      </c>
      <c r="L383" s="5">
        <v>5245</v>
      </c>
      <c r="M383" s="8">
        <v>75479.759999999995</v>
      </c>
      <c r="N383" s="8">
        <v>39322.71</v>
      </c>
      <c r="O383" s="7">
        <v>359741.38</v>
      </c>
      <c r="P383" s="3" t="s">
        <v>0</v>
      </c>
      <c r="Q383" s="3" t="s">
        <v>6</v>
      </c>
    </row>
    <row r="384" spans="1:17" x14ac:dyDescent="0.25">
      <c r="A384" s="3" t="s">
        <v>1854</v>
      </c>
      <c r="B384" s="3" t="s">
        <v>1855</v>
      </c>
      <c r="C384" s="3" t="s">
        <v>349</v>
      </c>
      <c r="D384" s="3" t="s">
        <v>1856</v>
      </c>
      <c r="E384" s="3" t="s">
        <v>1857</v>
      </c>
      <c r="F384" s="3" t="s">
        <v>1549</v>
      </c>
      <c r="G384" s="15">
        <v>46133</v>
      </c>
      <c r="H384" s="16">
        <f t="shared" si="10"/>
        <v>295</v>
      </c>
      <c r="I384" s="16" t="str">
        <f t="shared" si="11"/>
        <v>241 à 365 dias</v>
      </c>
      <c r="J384" s="4">
        <v>8</v>
      </c>
      <c r="K384" s="8">
        <v>13199.03</v>
      </c>
      <c r="L384" s="5">
        <v>1216.68</v>
      </c>
      <c r="M384" s="8">
        <v>14415.71</v>
      </c>
      <c r="N384" s="7">
        <v>144727.17000000001</v>
      </c>
      <c r="O384" s="7">
        <v>144946.93</v>
      </c>
      <c r="P384" s="3" t="s">
        <v>0</v>
      </c>
      <c r="Q384" s="3" t="s">
        <v>6</v>
      </c>
    </row>
    <row r="385" spans="1:17" x14ac:dyDescent="0.25">
      <c r="A385" s="3" t="s">
        <v>1858</v>
      </c>
      <c r="B385" s="3" t="s">
        <v>1859</v>
      </c>
      <c r="C385" s="3" t="s">
        <v>349</v>
      </c>
      <c r="D385" s="3" t="s">
        <v>1860</v>
      </c>
      <c r="E385" s="3" t="s">
        <v>1200</v>
      </c>
      <c r="F385" s="3" t="s">
        <v>1861</v>
      </c>
      <c r="G385" s="15">
        <v>46133</v>
      </c>
      <c r="H385" s="16">
        <f t="shared" si="10"/>
        <v>344</v>
      </c>
      <c r="I385" s="16" t="str">
        <f t="shared" si="11"/>
        <v>241 à 365 dias</v>
      </c>
      <c r="J385" s="11">
        <v>24</v>
      </c>
      <c r="K385" s="8">
        <v>23830.97</v>
      </c>
      <c r="L385" s="5">
        <v>1873.51</v>
      </c>
      <c r="M385" s="8">
        <v>25704.48</v>
      </c>
      <c r="N385" s="8">
        <v>41912.370000000003</v>
      </c>
      <c r="O385" s="7">
        <v>438205.86</v>
      </c>
      <c r="P385" s="3" t="s">
        <v>0</v>
      </c>
      <c r="Q385" s="3" t="s">
        <v>6</v>
      </c>
    </row>
    <row r="386" spans="1:17" x14ac:dyDescent="0.25">
      <c r="A386" s="3" t="s">
        <v>1862</v>
      </c>
      <c r="B386" s="3" t="s">
        <v>1863</v>
      </c>
      <c r="C386" s="3" t="s">
        <v>115</v>
      </c>
      <c r="D386" s="3" t="s">
        <v>1864</v>
      </c>
      <c r="E386" s="3" t="s">
        <v>1626</v>
      </c>
      <c r="F386" s="3" t="s">
        <v>1549</v>
      </c>
      <c r="G386" s="15">
        <v>46133</v>
      </c>
      <c r="H386" s="16">
        <f t="shared" ref="H386:H449" si="12">G386-F386</f>
        <v>295</v>
      </c>
      <c r="I386" s="16" t="str">
        <f t="shared" ref="I386:I449" si="13">+IF(H386&lt;35,"Adimplente",IF(H386&lt;=60,"35 à 60 dias",IF(H386&lt;=90,"61 à 90 dias",IF(H386&lt;=120,"91 à 120 dias",IF(H386&lt;=180,"121 à 180 dias",IF(H386&lt;=240,"181 à 240 dias",IF(H386&lt;=365,"241 à 365 dias","Maior 365 dias")))))))</f>
        <v>241 à 365 dias</v>
      </c>
      <c r="J386" s="4">
        <v>3</v>
      </c>
      <c r="K386" s="8">
        <v>58320</v>
      </c>
      <c r="L386" s="5">
        <v>6298.56</v>
      </c>
      <c r="M386" s="8">
        <v>64618.559999999998</v>
      </c>
      <c r="N386" s="8">
        <v>59940</v>
      </c>
      <c r="O386" s="7">
        <v>247860</v>
      </c>
      <c r="P386" s="3" t="s">
        <v>0</v>
      </c>
      <c r="Q386" s="3" t="s">
        <v>6</v>
      </c>
    </row>
    <row r="387" spans="1:17" x14ac:dyDescent="0.25">
      <c r="A387" s="3" t="s">
        <v>1150</v>
      </c>
      <c r="B387" s="3" t="s">
        <v>1865</v>
      </c>
      <c r="C387" s="3" t="s">
        <v>94</v>
      </c>
      <c r="D387" s="3" t="s">
        <v>1866</v>
      </c>
      <c r="E387" s="3" t="s">
        <v>1867</v>
      </c>
      <c r="F387" s="3" t="s">
        <v>1449</v>
      </c>
      <c r="G387" s="15">
        <v>46133</v>
      </c>
      <c r="H387" s="16">
        <f t="shared" si="12"/>
        <v>244</v>
      </c>
      <c r="I387" s="16" t="str">
        <f t="shared" si="13"/>
        <v>241 à 365 dias</v>
      </c>
      <c r="J387" s="11">
        <v>28</v>
      </c>
      <c r="K387" s="8">
        <v>30627.45</v>
      </c>
      <c r="L387" s="5">
        <v>1858.14</v>
      </c>
      <c r="M387" s="8">
        <v>32485.59</v>
      </c>
      <c r="N387" s="8">
        <v>20217.18</v>
      </c>
      <c r="O387" s="7">
        <v>138899.82</v>
      </c>
      <c r="P387" s="3" t="s">
        <v>0</v>
      </c>
      <c r="Q387" s="3" t="s">
        <v>6</v>
      </c>
    </row>
    <row r="388" spans="1:17" x14ac:dyDescent="0.25">
      <c r="A388" s="3" t="s">
        <v>1868</v>
      </c>
      <c r="B388" s="3" t="s">
        <v>1869</v>
      </c>
      <c r="C388" s="3" t="s">
        <v>349</v>
      </c>
      <c r="D388" s="3" t="s">
        <v>1870</v>
      </c>
      <c r="E388" s="3" t="s">
        <v>143</v>
      </c>
      <c r="F388" s="3" t="s">
        <v>1237</v>
      </c>
      <c r="G388" s="15">
        <v>46133</v>
      </c>
      <c r="H388" s="16">
        <f t="shared" si="12"/>
        <v>265</v>
      </c>
      <c r="I388" s="16" t="str">
        <f t="shared" si="13"/>
        <v>241 à 365 dias</v>
      </c>
      <c r="J388" s="11">
        <v>18</v>
      </c>
      <c r="K388" s="8">
        <v>19157.34</v>
      </c>
      <c r="L388" s="5">
        <v>1272.8800000000001</v>
      </c>
      <c r="M388" s="8">
        <v>20430.22</v>
      </c>
      <c r="N388" s="8">
        <v>39770.6</v>
      </c>
      <c r="O388" s="7">
        <v>206456.2</v>
      </c>
      <c r="P388" s="3" t="s">
        <v>0</v>
      </c>
      <c r="Q388" s="3" t="s">
        <v>6</v>
      </c>
    </row>
    <row r="389" spans="1:17" x14ac:dyDescent="0.25">
      <c r="A389" s="3" t="s">
        <v>1871</v>
      </c>
      <c r="B389" s="3" t="s">
        <v>1872</v>
      </c>
      <c r="C389" s="3" t="s">
        <v>94</v>
      </c>
      <c r="D389" s="3" t="s">
        <v>1873</v>
      </c>
      <c r="E389" s="3" t="s">
        <v>1874</v>
      </c>
      <c r="F389" s="3" t="s">
        <v>1234</v>
      </c>
      <c r="G389" s="15">
        <v>46133</v>
      </c>
      <c r="H389" s="16">
        <f t="shared" si="12"/>
        <v>249</v>
      </c>
      <c r="I389" s="16" t="str">
        <f t="shared" si="13"/>
        <v>241 à 365 dias</v>
      </c>
      <c r="J389" s="11">
        <v>11</v>
      </c>
      <c r="K389" s="5">
        <v>8287.2800000000007</v>
      </c>
      <c r="L389" s="6">
        <v>484.47</v>
      </c>
      <c r="M389" s="5">
        <v>8771.75</v>
      </c>
      <c r="N389" s="8">
        <v>22138.639999999999</v>
      </c>
      <c r="O389" s="7">
        <v>129803.02</v>
      </c>
      <c r="P389" s="3" t="s">
        <v>0</v>
      </c>
      <c r="Q389" s="3" t="s">
        <v>6</v>
      </c>
    </row>
    <row r="390" spans="1:17" x14ac:dyDescent="0.25">
      <c r="A390" s="3" t="s">
        <v>113</v>
      </c>
      <c r="B390" s="3" t="s">
        <v>1875</v>
      </c>
      <c r="C390" s="3" t="s">
        <v>349</v>
      </c>
      <c r="D390" s="3" t="s">
        <v>1876</v>
      </c>
      <c r="E390" s="3" t="s">
        <v>1877</v>
      </c>
      <c r="F390" s="3" t="s">
        <v>1305</v>
      </c>
      <c r="G390" s="15">
        <v>46133</v>
      </c>
      <c r="H390" s="16">
        <f t="shared" si="12"/>
        <v>254</v>
      </c>
      <c r="I390" s="16" t="str">
        <f t="shared" si="13"/>
        <v>241 à 365 dias</v>
      </c>
      <c r="J390" s="4">
        <v>2</v>
      </c>
      <c r="K390" s="5">
        <v>5405.68</v>
      </c>
      <c r="L390" s="6">
        <v>259.51</v>
      </c>
      <c r="M390" s="5">
        <v>5665.19</v>
      </c>
      <c r="N390" s="7">
        <v>108682.1</v>
      </c>
      <c r="O390" s="7">
        <v>221484.64</v>
      </c>
      <c r="P390" s="3" t="s">
        <v>0</v>
      </c>
      <c r="Q390" s="3" t="s">
        <v>6</v>
      </c>
    </row>
    <row r="391" spans="1:17" x14ac:dyDescent="0.25">
      <c r="A391" s="3" t="s">
        <v>1868</v>
      </c>
      <c r="B391" s="3" t="s">
        <v>1878</v>
      </c>
      <c r="C391" s="3" t="s">
        <v>120</v>
      </c>
      <c r="D391" s="3" t="s">
        <v>1879</v>
      </c>
      <c r="E391" s="3" t="s">
        <v>1880</v>
      </c>
      <c r="F391" s="3" t="s">
        <v>857</v>
      </c>
      <c r="G391" s="15">
        <v>46133</v>
      </c>
      <c r="H391" s="16">
        <f t="shared" si="12"/>
        <v>361</v>
      </c>
      <c r="I391" s="16" t="str">
        <f t="shared" si="13"/>
        <v>241 à 365 dias</v>
      </c>
      <c r="J391" s="11">
        <v>17</v>
      </c>
      <c r="K391" s="8">
        <v>26209.06</v>
      </c>
      <c r="L391" s="5">
        <v>2690.8</v>
      </c>
      <c r="M391" s="8">
        <v>28899.86</v>
      </c>
      <c r="N391" s="8">
        <v>77415.92</v>
      </c>
      <c r="O391" s="7">
        <v>216717.1</v>
      </c>
      <c r="P391" s="3" t="s">
        <v>0</v>
      </c>
      <c r="Q391" s="3" t="s">
        <v>6</v>
      </c>
    </row>
    <row r="392" spans="1:17" x14ac:dyDescent="0.25">
      <c r="A392" s="3" t="s">
        <v>1881</v>
      </c>
      <c r="B392" s="3" t="s">
        <v>1882</v>
      </c>
      <c r="C392" s="3" t="s">
        <v>120</v>
      </c>
      <c r="D392" s="3" t="s">
        <v>1883</v>
      </c>
      <c r="E392" s="3" t="s">
        <v>461</v>
      </c>
      <c r="F392" s="3" t="s">
        <v>1549</v>
      </c>
      <c r="G392" s="15">
        <v>46133</v>
      </c>
      <c r="H392" s="16">
        <f t="shared" si="12"/>
        <v>295</v>
      </c>
      <c r="I392" s="16" t="str">
        <f t="shared" si="13"/>
        <v>241 à 365 dias</v>
      </c>
      <c r="J392" s="11">
        <v>21</v>
      </c>
      <c r="K392" s="8">
        <v>28527.1</v>
      </c>
      <c r="L392" s="5">
        <v>2568.1</v>
      </c>
      <c r="M392" s="8">
        <v>31095.200000000001</v>
      </c>
      <c r="N392" s="8">
        <v>58586.33</v>
      </c>
      <c r="O392" s="7">
        <v>191611.24</v>
      </c>
      <c r="P392" s="3" t="s">
        <v>0</v>
      </c>
      <c r="Q392" s="3" t="s">
        <v>6</v>
      </c>
    </row>
    <row r="393" spans="1:17" x14ac:dyDescent="0.25">
      <c r="A393" s="3" t="s">
        <v>1884</v>
      </c>
      <c r="B393" s="3" t="s">
        <v>1885</v>
      </c>
      <c r="C393" s="3" t="s">
        <v>25</v>
      </c>
      <c r="D393" s="3" t="s">
        <v>1886</v>
      </c>
      <c r="E393" s="3" t="s">
        <v>1887</v>
      </c>
      <c r="F393" s="3" t="s">
        <v>1237</v>
      </c>
      <c r="G393" s="15">
        <v>46133</v>
      </c>
      <c r="H393" s="16">
        <f t="shared" si="12"/>
        <v>265</v>
      </c>
      <c r="I393" s="16" t="str">
        <f t="shared" si="13"/>
        <v>241 à 365 dias</v>
      </c>
      <c r="J393" s="11">
        <v>12</v>
      </c>
      <c r="K393" s="8">
        <v>57602.43</v>
      </c>
      <c r="L393" s="5">
        <v>5670.38</v>
      </c>
      <c r="M393" s="8">
        <v>63272.81</v>
      </c>
      <c r="N393" s="8">
        <v>46376.46</v>
      </c>
      <c r="O393" s="8">
        <v>62328.24</v>
      </c>
      <c r="P393" s="3" t="s">
        <v>0</v>
      </c>
      <c r="Q393" s="3" t="s">
        <v>6</v>
      </c>
    </row>
    <row r="394" spans="1:17" x14ac:dyDescent="0.25">
      <c r="A394" s="3" t="s">
        <v>1888</v>
      </c>
      <c r="B394" s="3" t="s">
        <v>1889</v>
      </c>
      <c r="C394" s="3" t="s">
        <v>128</v>
      </c>
      <c r="D394" s="3" t="s">
        <v>1890</v>
      </c>
      <c r="E394" s="3" t="s">
        <v>416</v>
      </c>
      <c r="F394" s="3" t="s">
        <v>1234</v>
      </c>
      <c r="G394" s="15">
        <v>46133</v>
      </c>
      <c r="H394" s="16">
        <f t="shared" si="12"/>
        <v>249</v>
      </c>
      <c r="I394" s="16" t="str">
        <f t="shared" si="13"/>
        <v>241 à 365 dias</v>
      </c>
      <c r="J394" s="11">
        <v>11</v>
      </c>
      <c r="K394" s="8">
        <v>10966.16</v>
      </c>
      <c r="L394" s="6">
        <v>567.25</v>
      </c>
      <c r="M394" s="8">
        <v>11533.41</v>
      </c>
      <c r="N394" s="8">
        <v>62042.58</v>
      </c>
      <c r="O394" s="7">
        <v>271959.15999999997</v>
      </c>
      <c r="P394" s="3" t="s">
        <v>0</v>
      </c>
      <c r="Q394" s="3" t="s">
        <v>7</v>
      </c>
    </row>
    <row r="395" spans="1:17" x14ac:dyDescent="0.25">
      <c r="A395" s="3" t="s">
        <v>1891</v>
      </c>
      <c r="B395" s="3" t="s">
        <v>1892</v>
      </c>
      <c r="C395" s="3" t="s">
        <v>94</v>
      </c>
      <c r="D395" s="3" t="s">
        <v>1893</v>
      </c>
      <c r="E395" s="3" t="s">
        <v>1894</v>
      </c>
      <c r="F395" s="3" t="s">
        <v>1449</v>
      </c>
      <c r="G395" s="15">
        <v>46133</v>
      </c>
      <c r="H395" s="16">
        <f t="shared" si="12"/>
        <v>244</v>
      </c>
      <c r="I395" s="16" t="str">
        <f t="shared" si="13"/>
        <v>241 à 365 dias</v>
      </c>
      <c r="J395" s="4">
        <v>2</v>
      </c>
      <c r="K395" s="5">
        <v>2052.2199999999998</v>
      </c>
      <c r="L395" s="9">
        <v>47.34</v>
      </c>
      <c r="M395" s="5">
        <v>2099.56</v>
      </c>
      <c r="N395" s="8">
        <v>42906.76</v>
      </c>
      <c r="O395" s="8">
        <v>56362.45</v>
      </c>
      <c r="P395" s="3" t="s">
        <v>0</v>
      </c>
      <c r="Q395" s="3" t="s">
        <v>5</v>
      </c>
    </row>
    <row r="396" spans="1:17" x14ac:dyDescent="0.25">
      <c r="A396" s="3" t="s">
        <v>1895</v>
      </c>
      <c r="B396" s="3" t="s">
        <v>1896</v>
      </c>
      <c r="C396" s="3" t="s">
        <v>94</v>
      </c>
      <c r="D396" s="3" t="s">
        <v>1897</v>
      </c>
      <c r="E396" s="3" t="s">
        <v>247</v>
      </c>
      <c r="F396" s="3" t="s">
        <v>1234</v>
      </c>
      <c r="G396" s="15">
        <v>46133</v>
      </c>
      <c r="H396" s="16">
        <f t="shared" si="12"/>
        <v>249</v>
      </c>
      <c r="I396" s="16" t="str">
        <f t="shared" si="13"/>
        <v>241 à 365 dias</v>
      </c>
      <c r="J396" s="4">
        <v>2</v>
      </c>
      <c r="K396" s="6">
        <v>839.59</v>
      </c>
      <c r="L396" s="9">
        <v>19.010000000000002</v>
      </c>
      <c r="M396" s="6">
        <v>858.6</v>
      </c>
      <c r="N396" s="8">
        <v>56045.14</v>
      </c>
      <c r="O396" s="7">
        <v>113220.05</v>
      </c>
      <c r="P396" s="3" t="s">
        <v>0</v>
      </c>
      <c r="Q396" s="3" t="s">
        <v>5</v>
      </c>
    </row>
    <row r="397" spans="1:17" x14ac:dyDescent="0.25">
      <c r="A397" s="3" t="s">
        <v>1290</v>
      </c>
      <c r="B397" s="3" t="s">
        <v>1898</v>
      </c>
      <c r="C397" s="3" t="s">
        <v>94</v>
      </c>
      <c r="D397" s="3" t="s">
        <v>1899</v>
      </c>
      <c r="E397" s="3" t="s">
        <v>1003</v>
      </c>
      <c r="F397" s="3" t="s">
        <v>1234</v>
      </c>
      <c r="G397" s="15">
        <v>46133</v>
      </c>
      <c r="H397" s="16">
        <f t="shared" si="12"/>
        <v>249</v>
      </c>
      <c r="I397" s="16" t="str">
        <f t="shared" si="13"/>
        <v>241 à 365 dias</v>
      </c>
      <c r="J397" s="4">
        <v>2</v>
      </c>
      <c r="K397" s="6">
        <v>909</v>
      </c>
      <c r="L397" s="9">
        <v>22.75</v>
      </c>
      <c r="M397" s="6">
        <v>931.75</v>
      </c>
      <c r="N397" s="8">
        <v>59233.75</v>
      </c>
      <c r="O397" s="7">
        <v>125450.36</v>
      </c>
      <c r="P397" s="3" t="s">
        <v>0</v>
      </c>
      <c r="Q397" s="3" t="s">
        <v>5</v>
      </c>
    </row>
    <row r="398" spans="1:17" x14ac:dyDescent="0.25">
      <c r="A398" s="3" t="s">
        <v>1900</v>
      </c>
      <c r="B398" s="3" t="s">
        <v>1901</v>
      </c>
      <c r="C398" s="3" t="s">
        <v>50</v>
      </c>
      <c r="D398" s="3" t="s">
        <v>1902</v>
      </c>
      <c r="E398" s="3" t="s">
        <v>1903</v>
      </c>
      <c r="F398" s="3" t="s">
        <v>1904</v>
      </c>
      <c r="G398" s="15">
        <v>46133</v>
      </c>
      <c r="H398" s="16">
        <f t="shared" si="12"/>
        <v>117</v>
      </c>
      <c r="I398" s="16" t="str">
        <f t="shared" si="13"/>
        <v>91 à 120 dias</v>
      </c>
      <c r="J398" s="4">
        <v>5</v>
      </c>
      <c r="K398" s="5">
        <v>4980.97</v>
      </c>
      <c r="L398" s="6">
        <v>223.93</v>
      </c>
      <c r="M398" s="5">
        <v>5248.06</v>
      </c>
      <c r="N398" s="8">
        <v>25143.89</v>
      </c>
      <c r="O398" s="7">
        <v>209632.17</v>
      </c>
      <c r="P398" s="3" t="s">
        <v>0</v>
      </c>
      <c r="Q398" s="3" t="s">
        <v>5</v>
      </c>
    </row>
    <row r="399" spans="1:17" x14ac:dyDescent="0.25">
      <c r="A399" s="3" t="s">
        <v>1907</v>
      </c>
      <c r="B399" s="3" t="s">
        <v>1908</v>
      </c>
      <c r="C399" s="3" t="s">
        <v>50</v>
      </c>
      <c r="D399" s="3" t="s">
        <v>1909</v>
      </c>
      <c r="E399" s="3" t="s">
        <v>1910</v>
      </c>
      <c r="F399" s="3" t="s">
        <v>1905</v>
      </c>
      <c r="G399" s="15">
        <v>46133</v>
      </c>
      <c r="H399" s="16">
        <f t="shared" si="12"/>
        <v>55</v>
      </c>
      <c r="I399" s="16" t="str">
        <f t="shared" si="13"/>
        <v>35 à 60 dias</v>
      </c>
      <c r="J399" s="4">
        <v>2</v>
      </c>
      <c r="K399" s="5">
        <v>2822.04</v>
      </c>
      <c r="L399" s="9">
        <v>99.35</v>
      </c>
      <c r="M399" s="5">
        <v>2942.34</v>
      </c>
      <c r="N399" s="8">
        <v>32699.95</v>
      </c>
      <c r="O399" s="7">
        <v>136868.94</v>
      </c>
      <c r="P399" s="3" t="s">
        <v>0</v>
      </c>
      <c r="Q399" s="3" t="s">
        <v>5</v>
      </c>
    </row>
    <row r="400" spans="1:17" x14ac:dyDescent="0.25">
      <c r="A400" s="3" t="s">
        <v>1858</v>
      </c>
      <c r="B400" s="3" t="s">
        <v>1911</v>
      </c>
      <c r="C400" s="3" t="s">
        <v>94</v>
      </c>
      <c r="D400" s="3" t="s">
        <v>1912</v>
      </c>
      <c r="E400" s="3" t="s">
        <v>1913</v>
      </c>
      <c r="F400" s="3" t="s">
        <v>1914</v>
      </c>
      <c r="G400" s="15">
        <v>46133</v>
      </c>
      <c r="H400" s="16">
        <f t="shared" si="12"/>
        <v>42</v>
      </c>
      <c r="I400" s="16" t="str">
        <f t="shared" si="13"/>
        <v>35 à 60 dias</v>
      </c>
      <c r="J400" s="4">
        <v>3</v>
      </c>
      <c r="K400" s="5">
        <v>2324.2800000000002</v>
      </c>
      <c r="L400" s="9">
        <v>63.12</v>
      </c>
      <c r="M400" s="5">
        <v>2387.4</v>
      </c>
      <c r="N400" s="8">
        <v>10300.200000000001</v>
      </c>
      <c r="O400" s="7">
        <v>153656.62</v>
      </c>
      <c r="P400" s="3" t="s">
        <v>0</v>
      </c>
      <c r="Q400" s="3" t="s">
        <v>5</v>
      </c>
    </row>
    <row r="401" spans="1:17" x14ac:dyDescent="0.25">
      <c r="A401" s="3" t="s">
        <v>1915</v>
      </c>
      <c r="B401" s="3" t="s">
        <v>1916</v>
      </c>
      <c r="C401" s="3" t="s">
        <v>25</v>
      </c>
      <c r="D401" s="3" t="s">
        <v>1917</v>
      </c>
      <c r="E401" s="3" t="s">
        <v>416</v>
      </c>
      <c r="F401" s="3" t="s">
        <v>1906</v>
      </c>
      <c r="G401" s="15">
        <v>46133</v>
      </c>
      <c r="H401" s="16">
        <f t="shared" si="12"/>
        <v>52</v>
      </c>
      <c r="I401" s="16" t="str">
        <f t="shared" si="13"/>
        <v>35 à 60 dias</v>
      </c>
      <c r="J401" s="4">
        <v>2</v>
      </c>
      <c r="K401" s="5">
        <v>2027.42</v>
      </c>
      <c r="L401" s="9">
        <v>65.7</v>
      </c>
      <c r="M401" s="5">
        <v>2093.12</v>
      </c>
      <c r="N401" s="8">
        <v>42719.03</v>
      </c>
      <c r="O401" s="7">
        <v>222002.49</v>
      </c>
      <c r="P401" s="3" t="s">
        <v>0</v>
      </c>
      <c r="Q401" s="3" t="s">
        <v>5</v>
      </c>
    </row>
    <row r="402" spans="1:17" x14ac:dyDescent="0.25">
      <c r="A402" s="3" t="s">
        <v>685</v>
      </c>
      <c r="B402" s="3" t="s">
        <v>851</v>
      </c>
      <c r="C402" s="3" t="s">
        <v>25</v>
      </c>
      <c r="D402" s="3" t="s">
        <v>1919</v>
      </c>
      <c r="E402" s="3" t="s">
        <v>853</v>
      </c>
      <c r="F402" s="3" t="s">
        <v>1920</v>
      </c>
      <c r="G402" s="15">
        <v>46133</v>
      </c>
      <c r="H402" s="16">
        <f t="shared" si="12"/>
        <v>81</v>
      </c>
      <c r="I402" s="16" t="str">
        <f t="shared" si="13"/>
        <v>61 à 90 dias</v>
      </c>
      <c r="J402" s="4">
        <v>2</v>
      </c>
      <c r="K402" s="5">
        <v>1967.42</v>
      </c>
      <c r="L402" s="9">
        <v>73.91</v>
      </c>
      <c r="M402" s="5">
        <v>2041.33</v>
      </c>
      <c r="N402" s="8">
        <v>59478.35</v>
      </c>
      <c r="O402" s="8">
        <v>16723.07</v>
      </c>
      <c r="P402" s="3" t="s">
        <v>0</v>
      </c>
      <c r="Q402" s="3" t="s">
        <v>5</v>
      </c>
    </row>
    <row r="403" spans="1:17" x14ac:dyDescent="0.25">
      <c r="A403" s="3" t="s">
        <v>1723</v>
      </c>
      <c r="B403" s="3" t="s">
        <v>1921</v>
      </c>
      <c r="C403" s="3" t="s">
        <v>37</v>
      </c>
      <c r="D403" s="3" t="s">
        <v>1922</v>
      </c>
      <c r="E403" s="3" t="s">
        <v>33</v>
      </c>
      <c r="F403" s="3" t="s">
        <v>1923</v>
      </c>
      <c r="G403" s="15">
        <v>46133</v>
      </c>
      <c r="H403" s="16">
        <f t="shared" si="12"/>
        <v>70</v>
      </c>
      <c r="I403" s="16" t="str">
        <f t="shared" si="13"/>
        <v>61 à 90 dias</v>
      </c>
      <c r="J403" s="4">
        <v>2</v>
      </c>
      <c r="K403" s="5">
        <v>1151.9000000000001</v>
      </c>
      <c r="L403" s="9">
        <v>38.909999999999997</v>
      </c>
      <c r="M403" s="5">
        <v>1190.81</v>
      </c>
      <c r="N403" s="8">
        <v>10456.98</v>
      </c>
      <c r="O403" s="7">
        <v>127284.95</v>
      </c>
      <c r="P403" s="3" t="s">
        <v>0</v>
      </c>
      <c r="Q403" s="3" t="s">
        <v>5</v>
      </c>
    </row>
    <row r="404" spans="1:17" x14ac:dyDescent="0.25">
      <c r="A404" s="3" t="s">
        <v>1924</v>
      </c>
      <c r="B404" s="3" t="s">
        <v>1925</v>
      </c>
      <c r="C404" s="3" t="s">
        <v>128</v>
      </c>
      <c r="D404" s="3" t="s">
        <v>1926</v>
      </c>
      <c r="E404" s="3" t="s">
        <v>315</v>
      </c>
      <c r="F404" s="3" t="s">
        <v>1918</v>
      </c>
      <c r="G404" s="15">
        <v>46133</v>
      </c>
      <c r="H404" s="16">
        <f t="shared" si="12"/>
        <v>86</v>
      </c>
      <c r="I404" s="16" t="str">
        <f t="shared" si="13"/>
        <v>61 à 90 dias</v>
      </c>
      <c r="J404" s="4">
        <v>3</v>
      </c>
      <c r="K404" s="5">
        <v>2620.14</v>
      </c>
      <c r="L404" s="6">
        <v>101.9</v>
      </c>
      <c r="M404" s="5">
        <v>2722.04</v>
      </c>
      <c r="N404" s="8">
        <v>39590.730000000003</v>
      </c>
      <c r="O404" s="7">
        <v>264595.53000000003</v>
      </c>
      <c r="P404" s="3" t="s">
        <v>0</v>
      </c>
      <c r="Q404" s="3" t="s">
        <v>5</v>
      </c>
    </row>
    <row r="405" spans="1:17" x14ac:dyDescent="0.25">
      <c r="A405" s="3" t="s">
        <v>447</v>
      </c>
      <c r="B405" s="3" t="s">
        <v>1927</v>
      </c>
      <c r="C405" s="3" t="s">
        <v>115</v>
      </c>
      <c r="D405" s="3" t="s">
        <v>1928</v>
      </c>
      <c r="E405" s="3" t="s">
        <v>1929</v>
      </c>
      <c r="F405" s="3" t="s">
        <v>1918</v>
      </c>
      <c r="G405" s="15">
        <v>46133</v>
      </c>
      <c r="H405" s="16">
        <f t="shared" si="12"/>
        <v>86</v>
      </c>
      <c r="I405" s="16" t="str">
        <f t="shared" si="13"/>
        <v>61 à 90 dias</v>
      </c>
      <c r="J405" s="4">
        <v>4</v>
      </c>
      <c r="K405" s="8">
        <v>31905.78</v>
      </c>
      <c r="L405" s="5">
        <v>1216.79</v>
      </c>
      <c r="M405" s="8">
        <v>33122.57</v>
      </c>
      <c r="N405" s="8">
        <v>74569.87</v>
      </c>
      <c r="O405" s="7">
        <v>410149.86</v>
      </c>
      <c r="P405" s="3" t="s">
        <v>0</v>
      </c>
      <c r="Q405" s="3" t="s">
        <v>5</v>
      </c>
    </row>
    <row r="406" spans="1:17" x14ac:dyDescent="0.25">
      <c r="A406" s="3" t="s">
        <v>1955</v>
      </c>
      <c r="B406" s="3" t="s">
        <v>1956</v>
      </c>
      <c r="C406" s="3" t="s">
        <v>190</v>
      </c>
      <c r="D406" s="3" t="s">
        <v>1957</v>
      </c>
      <c r="E406" s="3" t="s">
        <v>1947</v>
      </c>
      <c r="F406" s="3" t="s">
        <v>1958</v>
      </c>
      <c r="G406" s="15">
        <v>46133</v>
      </c>
      <c r="H406" s="16">
        <f t="shared" si="12"/>
        <v>101</v>
      </c>
      <c r="I406" s="16" t="str">
        <f t="shared" si="13"/>
        <v>91 à 120 dias</v>
      </c>
      <c r="J406" s="4">
        <v>3</v>
      </c>
      <c r="K406" s="5">
        <v>6555</v>
      </c>
      <c r="L406" s="6">
        <v>284.77999999999997</v>
      </c>
      <c r="M406" s="5">
        <v>6966.41</v>
      </c>
      <c r="N406" s="5">
        <v>4370</v>
      </c>
      <c r="O406" s="7">
        <v>390581.1</v>
      </c>
      <c r="P406" s="3" t="s">
        <v>0</v>
      </c>
      <c r="Q406" s="3" t="s">
        <v>5</v>
      </c>
    </row>
    <row r="407" spans="1:17" x14ac:dyDescent="0.25">
      <c r="A407" s="3" t="s">
        <v>1959</v>
      </c>
      <c r="B407" s="3" t="s">
        <v>1960</v>
      </c>
      <c r="C407" s="3" t="s">
        <v>50</v>
      </c>
      <c r="D407" s="3" t="s">
        <v>1961</v>
      </c>
      <c r="E407" s="3" t="s">
        <v>1038</v>
      </c>
      <c r="F407" s="3" t="s">
        <v>1958</v>
      </c>
      <c r="G407" s="15">
        <v>46133</v>
      </c>
      <c r="H407" s="16">
        <f t="shared" si="12"/>
        <v>101</v>
      </c>
      <c r="I407" s="16" t="str">
        <f t="shared" si="13"/>
        <v>91 à 120 dias</v>
      </c>
      <c r="J407" s="4">
        <v>7</v>
      </c>
      <c r="K407" s="5">
        <v>9027.59</v>
      </c>
      <c r="L407" s="6">
        <v>345.22</v>
      </c>
      <c r="M407" s="5">
        <v>9468.5499999999993</v>
      </c>
      <c r="N407" s="8">
        <v>71629.87</v>
      </c>
      <c r="O407" s="7">
        <v>118136.13</v>
      </c>
      <c r="P407" s="3" t="s">
        <v>0</v>
      </c>
      <c r="Q407" s="3" t="s">
        <v>5</v>
      </c>
    </row>
    <row r="408" spans="1:17" x14ac:dyDescent="0.25">
      <c r="A408" s="3" t="s">
        <v>1962</v>
      </c>
      <c r="B408" s="3" t="s">
        <v>1963</v>
      </c>
      <c r="C408" s="3" t="s">
        <v>164</v>
      </c>
      <c r="D408" s="3" t="s">
        <v>1964</v>
      </c>
      <c r="E408" s="3" t="s">
        <v>1965</v>
      </c>
      <c r="F408" s="3" t="s">
        <v>1966</v>
      </c>
      <c r="G408" s="15">
        <v>46133</v>
      </c>
      <c r="H408" s="16">
        <f t="shared" si="12"/>
        <v>91</v>
      </c>
      <c r="I408" s="16" t="str">
        <f t="shared" si="13"/>
        <v>91 à 120 dias</v>
      </c>
      <c r="J408" s="4">
        <v>4</v>
      </c>
      <c r="K408" s="5">
        <v>5448.52</v>
      </c>
      <c r="L408" s="6">
        <v>240.67</v>
      </c>
      <c r="M408" s="5">
        <v>5760.04</v>
      </c>
      <c r="N408" s="5">
        <v>2724.26</v>
      </c>
      <c r="O408" s="7">
        <v>244963.72</v>
      </c>
      <c r="P408" s="3" t="s">
        <v>0</v>
      </c>
      <c r="Q408" s="3" t="s">
        <v>5</v>
      </c>
    </row>
    <row r="409" spans="1:17" x14ac:dyDescent="0.25">
      <c r="A409" s="3" t="s">
        <v>1967</v>
      </c>
      <c r="B409" s="3" t="s">
        <v>1968</v>
      </c>
      <c r="C409" s="3" t="s">
        <v>349</v>
      </c>
      <c r="D409" s="3" t="s">
        <v>1969</v>
      </c>
      <c r="E409" s="3" t="s">
        <v>1317</v>
      </c>
      <c r="F409" s="3" t="s">
        <v>1958</v>
      </c>
      <c r="G409" s="15">
        <v>46133</v>
      </c>
      <c r="H409" s="16">
        <f t="shared" si="12"/>
        <v>101</v>
      </c>
      <c r="I409" s="16" t="str">
        <f t="shared" si="13"/>
        <v>91 à 120 dias</v>
      </c>
      <c r="J409" s="4">
        <v>3</v>
      </c>
      <c r="K409" s="5">
        <v>3668.85</v>
      </c>
      <c r="L409" s="6">
        <v>147.03</v>
      </c>
      <c r="M409" s="5">
        <v>3815.88</v>
      </c>
      <c r="N409" s="8">
        <v>10824.9</v>
      </c>
      <c r="O409" s="7">
        <v>217685.1</v>
      </c>
      <c r="P409" s="3" t="s">
        <v>0</v>
      </c>
      <c r="Q409" s="3" t="s">
        <v>5</v>
      </c>
    </row>
    <row r="410" spans="1:17" x14ac:dyDescent="0.25">
      <c r="A410" s="3" t="s">
        <v>1970</v>
      </c>
      <c r="B410" s="3" t="s">
        <v>1971</v>
      </c>
      <c r="C410" s="3" t="s">
        <v>50</v>
      </c>
      <c r="D410" s="3" t="s">
        <v>1972</v>
      </c>
      <c r="E410" s="3" t="s">
        <v>1973</v>
      </c>
      <c r="F410" s="3" t="s">
        <v>1974</v>
      </c>
      <c r="G410" s="15">
        <v>46133</v>
      </c>
      <c r="H410" s="16">
        <f t="shared" si="12"/>
        <v>96</v>
      </c>
      <c r="I410" s="16" t="str">
        <f t="shared" si="13"/>
        <v>91 à 120 dias</v>
      </c>
      <c r="J410" s="4">
        <v>2</v>
      </c>
      <c r="K410" s="5">
        <v>3120.54</v>
      </c>
      <c r="L410" s="6">
        <v>148</v>
      </c>
      <c r="M410" s="5">
        <v>3297.44</v>
      </c>
      <c r="N410" s="8">
        <v>41328.31</v>
      </c>
      <c r="O410" s="7">
        <v>237161.04</v>
      </c>
      <c r="P410" s="3" t="s">
        <v>0</v>
      </c>
      <c r="Q410" s="3" t="s">
        <v>5</v>
      </c>
    </row>
    <row r="411" spans="1:17" x14ac:dyDescent="0.25">
      <c r="A411" s="3" t="s">
        <v>1975</v>
      </c>
      <c r="B411" s="3" t="s">
        <v>1976</v>
      </c>
      <c r="C411" s="3" t="s">
        <v>190</v>
      </c>
      <c r="D411" s="3" t="s">
        <v>1977</v>
      </c>
      <c r="E411" s="3" t="s">
        <v>566</v>
      </c>
      <c r="F411" s="3" t="s">
        <v>1958</v>
      </c>
      <c r="G411" s="15">
        <v>46133</v>
      </c>
      <c r="H411" s="16">
        <f t="shared" si="12"/>
        <v>101</v>
      </c>
      <c r="I411" s="16" t="str">
        <f t="shared" si="13"/>
        <v>91 à 120 dias</v>
      </c>
      <c r="J411" s="4">
        <v>4</v>
      </c>
      <c r="K411" s="5">
        <v>9351.74</v>
      </c>
      <c r="L411" s="6">
        <v>489.47</v>
      </c>
      <c r="M411" s="5">
        <v>9978.93</v>
      </c>
      <c r="N411" s="5">
        <v>2929.17</v>
      </c>
      <c r="O411" s="7">
        <v>320264.34000000003</v>
      </c>
      <c r="P411" s="3" t="s">
        <v>0</v>
      </c>
      <c r="Q411" s="3" t="s">
        <v>5</v>
      </c>
    </row>
    <row r="412" spans="1:17" x14ac:dyDescent="0.25">
      <c r="A412" s="3" t="s">
        <v>1978</v>
      </c>
      <c r="B412" s="3" t="s">
        <v>1979</v>
      </c>
      <c r="C412" s="3" t="s">
        <v>25</v>
      </c>
      <c r="D412" s="3" t="s">
        <v>1980</v>
      </c>
      <c r="E412" s="3" t="s">
        <v>1934</v>
      </c>
      <c r="F412" s="3" t="s">
        <v>1958</v>
      </c>
      <c r="G412" s="15">
        <v>46133</v>
      </c>
      <c r="H412" s="16">
        <f t="shared" si="12"/>
        <v>101</v>
      </c>
      <c r="I412" s="16" t="str">
        <f t="shared" si="13"/>
        <v>91 à 120 dias</v>
      </c>
      <c r="J412" s="4">
        <v>2</v>
      </c>
      <c r="K412" s="5">
        <v>4731.24</v>
      </c>
      <c r="L412" s="6">
        <v>182.93</v>
      </c>
      <c r="M412" s="5">
        <v>4914.17</v>
      </c>
      <c r="N412" s="8">
        <v>36125.879999999997</v>
      </c>
      <c r="O412" s="7">
        <v>246024.48</v>
      </c>
      <c r="P412" s="3" t="s">
        <v>0</v>
      </c>
      <c r="Q412" s="3" t="s">
        <v>5</v>
      </c>
    </row>
    <row r="413" spans="1:17" x14ac:dyDescent="0.25">
      <c r="A413" s="3" t="s">
        <v>1981</v>
      </c>
      <c r="B413" s="3" t="s">
        <v>1982</v>
      </c>
      <c r="C413" s="3" t="s">
        <v>94</v>
      </c>
      <c r="D413" s="3" t="s">
        <v>1983</v>
      </c>
      <c r="E413" s="3" t="s">
        <v>1984</v>
      </c>
      <c r="F413" s="3" t="s">
        <v>1958</v>
      </c>
      <c r="G413" s="15">
        <v>46133</v>
      </c>
      <c r="H413" s="16">
        <f t="shared" si="12"/>
        <v>101</v>
      </c>
      <c r="I413" s="16" t="str">
        <f t="shared" si="13"/>
        <v>91 à 120 dias</v>
      </c>
      <c r="J413" s="4">
        <v>4</v>
      </c>
      <c r="K413" s="5">
        <v>3601.56</v>
      </c>
      <c r="L413" s="6">
        <v>139.11000000000001</v>
      </c>
      <c r="M413" s="5">
        <v>3740.67</v>
      </c>
      <c r="N413" s="8">
        <v>16553.71</v>
      </c>
      <c r="O413" s="7">
        <v>144962.79</v>
      </c>
      <c r="P413" s="3" t="s">
        <v>0</v>
      </c>
      <c r="Q413" s="3" t="s">
        <v>5</v>
      </c>
    </row>
    <row r="414" spans="1:17" x14ac:dyDescent="0.25">
      <c r="A414" s="3" t="s">
        <v>1985</v>
      </c>
      <c r="B414" s="3" t="s">
        <v>1986</v>
      </c>
      <c r="C414" s="3" t="s">
        <v>50</v>
      </c>
      <c r="D414" s="3" t="s">
        <v>1987</v>
      </c>
      <c r="E414" s="3" t="s">
        <v>1423</v>
      </c>
      <c r="F414" s="3" t="s">
        <v>1966</v>
      </c>
      <c r="G414" s="15">
        <v>46133</v>
      </c>
      <c r="H414" s="16">
        <f t="shared" si="12"/>
        <v>91</v>
      </c>
      <c r="I414" s="16" t="str">
        <f t="shared" si="13"/>
        <v>91 à 120 dias</v>
      </c>
      <c r="J414" s="4">
        <v>3</v>
      </c>
      <c r="K414" s="5">
        <v>3635.64</v>
      </c>
      <c r="L414" s="6">
        <v>145.36000000000001</v>
      </c>
      <c r="M414" s="5">
        <v>3807.98</v>
      </c>
      <c r="N414" s="8">
        <v>10430.459999999999</v>
      </c>
      <c r="O414" s="7">
        <v>274467.71999999997</v>
      </c>
      <c r="P414" s="3" t="s">
        <v>0</v>
      </c>
      <c r="Q414" s="3" t="s">
        <v>5</v>
      </c>
    </row>
    <row r="415" spans="1:17" x14ac:dyDescent="0.25">
      <c r="A415" s="3" t="s">
        <v>1988</v>
      </c>
      <c r="B415" s="3" t="s">
        <v>1989</v>
      </c>
      <c r="C415" s="3" t="s">
        <v>759</v>
      </c>
      <c r="D415" s="3" t="s">
        <v>1990</v>
      </c>
      <c r="E415" s="3" t="s">
        <v>1991</v>
      </c>
      <c r="F415" s="3" t="s">
        <v>1966</v>
      </c>
      <c r="G415" s="15">
        <v>46133</v>
      </c>
      <c r="H415" s="16">
        <f t="shared" si="12"/>
        <v>91</v>
      </c>
      <c r="I415" s="16" t="str">
        <f t="shared" si="13"/>
        <v>91 à 120 dias</v>
      </c>
      <c r="J415" s="4">
        <v>4</v>
      </c>
      <c r="K415" s="5">
        <v>2521.36</v>
      </c>
      <c r="L415" s="9">
        <v>90.1</v>
      </c>
      <c r="M415" s="5">
        <v>2611.46</v>
      </c>
      <c r="N415" s="8">
        <v>64195.199999999997</v>
      </c>
      <c r="O415" s="8">
        <v>93920.66</v>
      </c>
      <c r="P415" s="3" t="s">
        <v>0</v>
      </c>
      <c r="Q415" s="3" t="s">
        <v>5</v>
      </c>
    </row>
    <row r="416" spans="1:17" x14ac:dyDescent="0.25">
      <c r="A416" s="3" t="s">
        <v>1992</v>
      </c>
      <c r="B416" s="3" t="s">
        <v>1993</v>
      </c>
      <c r="C416" s="3" t="s">
        <v>50</v>
      </c>
      <c r="D416" s="3" t="s">
        <v>1994</v>
      </c>
      <c r="E416" s="3" t="s">
        <v>1950</v>
      </c>
      <c r="F416" s="3" t="s">
        <v>1966</v>
      </c>
      <c r="G416" s="15">
        <v>46133</v>
      </c>
      <c r="H416" s="16">
        <f t="shared" si="12"/>
        <v>91</v>
      </c>
      <c r="I416" s="16" t="str">
        <f t="shared" si="13"/>
        <v>91 à 120 dias</v>
      </c>
      <c r="J416" s="4">
        <v>4</v>
      </c>
      <c r="K416" s="5">
        <v>5225.4399999999996</v>
      </c>
      <c r="L416" s="6">
        <v>191.9</v>
      </c>
      <c r="M416" s="5">
        <v>5499.87</v>
      </c>
      <c r="N416" s="5">
        <v>9144.52</v>
      </c>
      <c r="O416" s="7">
        <v>304381.88</v>
      </c>
      <c r="P416" s="3" t="s">
        <v>0</v>
      </c>
      <c r="Q416" s="3" t="s">
        <v>5</v>
      </c>
    </row>
    <row r="417" spans="1:17" x14ac:dyDescent="0.25">
      <c r="A417" s="3" t="s">
        <v>1995</v>
      </c>
      <c r="B417" s="3" t="s">
        <v>1996</v>
      </c>
      <c r="C417" s="3" t="s">
        <v>50</v>
      </c>
      <c r="D417" s="3" t="s">
        <v>1997</v>
      </c>
      <c r="E417" s="3" t="s">
        <v>1998</v>
      </c>
      <c r="F417" s="3" t="s">
        <v>1958</v>
      </c>
      <c r="G417" s="15">
        <v>46133</v>
      </c>
      <c r="H417" s="16">
        <f t="shared" si="12"/>
        <v>101</v>
      </c>
      <c r="I417" s="16" t="str">
        <f t="shared" si="13"/>
        <v>91 à 120 dias</v>
      </c>
      <c r="J417" s="4">
        <v>8</v>
      </c>
      <c r="K417" s="5">
        <v>7285.2</v>
      </c>
      <c r="L417" s="6">
        <v>286.49</v>
      </c>
      <c r="M417" s="5">
        <v>7733.12</v>
      </c>
      <c r="N417" s="8">
        <v>23345.68</v>
      </c>
      <c r="O417" s="7">
        <v>257986.06</v>
      </c>
      <c r="P417" s="3" t="s">
        <v>0</v>
      </c>
      <c r="Q417" s="3" t="s">
        <v>5</v>
      </c>
    </row>
    <row r="418" spans="1:17" x14ac:dyDescent="0.25">
      <c r="A418" s="3" t="s">
        <v>1999</v>
      </c>
      <c r="B418" s="3" t="s">
        <v>2000</v>
      </c>
      <c r="C418" s="3" t="s">
        <v>190</v>
      </c>
      <c r="D418" s="3" t="s">
        <v>2001</v>
      </c>
      <c r="E418" s="3" t="s">
        <v>2002</v>
      </c>
      <c r="F418" s="3" t="s">
        <v>2003</v>
      </c>
      <c r="G418" s="15">
        <v>46133</v>
      </c>
      <c r="H418" s="16">
        <f t="shared" si="12"/>
        <v>102</v>
      </c>
      <c r="I418" s="16" t="str">
        <f t="shared" si="13"/>
        <v>91 à 120 dias</v>
      </c>
      <c r="J418" s="4">
        <v>6</v>
      </c>
      <c r="K418" s="8">
        <v>29218.43</v>
      </c>
      <c r="L418" s="5">
        <v>1587.88</v>
      </c>
      <c r="M418" s="5">
        <v>30944.36</v>
      </c>
      <c r="N418" s="5">
        <v>2921.84</v>
      </c>
      <c r="O418" s="7">
        <v>163623.07</v>
      </c>
      <c r="P418" s="3" t="s">
        <v>0</v>
      </c>
      <c r="Q418" s="3" t="s">
        <v>5</v>
      </c>
    </row>
    <row r="419" spans="1:17" x14ac:dyDescent="0.25">
      <c r="A419" s="3" t="s">
        <v>2004</v>
      </c>
      <c r="B419" s="3" t="s">
        <v>2005</v>
      </c>
      <c r="C419" s="3" t="s">
        <v>164</v>
      </c>
      <c r="D419" s="3" t="s">
        <v>2006</v>
      </c>
      <c r="E419" s="3" t="s">
        <v>1931</v>
      </c>
      <c r="F419" s="3" t="s">
        <v>2003</v>
      </c>
      <c r="G419" s="15">
        <v>46133</v>
      </c>
      <c r="H419" s="16">
        <f t="shared" si="12"/>
        <v>102</v>
      </c>
      <c r="I419" s="16" t="str">
        <f t="shared" si="13"/>
        <v>91 à 120 dias</v>
      </c>
      <c r="J419" s="4">
        <v>2</v>
      </c>
      <c r="K419" s="5">
        <v>1082.82</v>
      </c>
      <c r="L419" s="9">
        <v>67.569999999999993</v>
      </c>
      <c r="M419" s="5">
        <v>1150.3900000000001</v>
      </c>
      <c r="N419" s="5">
        <v>1082.82</v>
      </c>
      <c r="O419" s="7">
        <v>246457.44</v>
      </c>
      <c r="P419" s="3" t="s">
        <v>0</v>
      </c>
      <c r="Q419" s="3" t="s">
        <v>5</v>
      </c>
    </row>
    <row r="420" spans="1:17" x14ac:dyDescent="0.25">
      <c r="A420" s="3" t="s">
        <v>2007</v>
      </c>
      <c r="B420" s="3" t="s">
        <v>2008</v>
      </c>
      <c r="C420" s="3" t="s">
        <v>50</v>
      </c>
      <c r="D420" s="3" t="s">
        <v>2009</v>
      </c>
      <c r="E420" s="3" t="s">
        <v>654</v>
      </c>
      <c r="F420" s="3" t="s">
        <v>1958</v>
      </c>
      <c r="G420" s="15">
        <v>46133</v>
      </c>
      <c r="H420" s="16">
        <f t="shared" si="12"/>
        <v>101</v>
      </c>
      <c r="I420" s="16" t="str">
        <f t="shared" si="13"/>
        <v>91 à 120 dias</v>
      </c>
      <c r="J420" s="4">
        <v>1</v>
      </c>
      <c r="K420" s="5">
        <v>1409.42</v>
      </c>
      <c r="L420" s="9">
        <v>75.55</v>
      </c>
      <c r="M420" s="5">
        <v>1513.5</v>
      </c>
      <c r="N420" s="8">
        <v>15280.27</v>
      </c>
      <c r="O420" s="7">
        <v>322757.18</v>
      </c>
      <c r="P420" s="3" t="s">
        <v>0</v>
      </c>
      <c r="Q420" s="3" t="s">
        <v>5</v>
      </c>
    </row>
    <row r="421" spans="1:17" x14ac:dyDescent="0.25">
      <c r="A421" s="3" t="s">
        <v>2010</v>
      </c>
      <c r="B421" s="3" t="s">
        <v>2011</v>
      </c>
      <c r="C421" s="3" t="s">
        <v>31</v>
      </c>
      <c r="D421" s="3" t="s">
        <v>2012</v>
      </c>
      <c r="E421" s="3" t="s">
        <v>275</v>
      </c>
      <c r="F421" s="3" t="s">
        <v>1966</v>
      </c>
      <c r="G421" s="15">
        <v>46133</v>
      </c>
      <c r="H421" s="16">
        <f t="shared" si="12"/>
        <v>91</v>
      </c>
      <c r="I421" s="16" t="str">
        <f t="shared" si="13"/>
        <v>91 à 120 dias</v>
      </c>
      <c r="J421" s="4">
        <v>4</v>
      </c>
      <c r="K421" s="8">
        <v>23085.599999999999</v>
      </c>
      <c r="L421" s="6">
        <v>815.7</v>
      </c>
      <c r="M421" s="8">
        <v>23901.3</v>
      </c>
      <c r="N421" s="8">
        <v>63599.88</v>
      </c>
      <c r="O421" s="7">
        <v>126970.8</v>
      </c>
      <c r="P421" s="3" t="s">
        <v>0</v>
      </c>
      <c r="Q421" s="3" t="s">
        <v>5</v>
      </c>
    </row>
    <row r="422" spans="1:17" x14ac:dyDescent="0.25">
      <c r="A422" s="3" t="s">
        <v>2013</v>
      </c>
      <c r="B422" s="3" t="s">
        <v>2014</v>
      </c>
      <c r="C422" s="3" t="s">
        <v>25</v>
      </c>
      <c r="D422" s="3" t="s">
        <v>2015</v>
      </c>
      <c r="E422" s="3" t="s">
        <v>908</v>
      </c>
      <c r="F422" s="3" t="s">
        <v>1966</v>
      </c>
      <c r="G422" s="15">
        <v>46133</v>
      </c>
      <c r="H422" s="16">
        <f t="shared" si="12"/>
        <v>91</v>
      </c>
      <c r="I422" s="16" t="str">
        <f t="shared" si="13"/>
        <v>91 à 120 dias</v>
      </c>
      <c r="J422" s="4">
        <v>3</v>
      </c>
      <c r="K422" s="5">
        <v>4246.29</v>
      </c>
      <c r="L422" s="6">
        <v>147.31</v>
      </c>
      <c r="M422" s="5">
        <v>4393.6000000000004</v>
      </c>
      <c r="N422" s="8">
        <v>92994.63</v>
      </c>
      <c r="O422" s="8">
        <v>24062.31</v>
      </c>
      <c r="P422" s="3" t="s">
        <v>0</v>
      </c>
      <c r="Q422" s="3" t="s">
        <v>5</v>
      </c>
    </row>
    <row r="423" spans="1:17" x14ac:dyDescent="0.25">
      <c r="A423" s="3" t="s">
        <v>2016</v>
      </c>
      <c r="B423" s="3" t="s">
        <v>2017</v>
      </c>
      <c r="C423" s="3" t="s">
        <v>50</v>
      </c>
      <c r="D423" s="3" t="s">
        <v>2018</v>
      </c>
      <c r="E423" s="3" t="s">
        <v>2019</v>
      </c>
      <c r="F423" s="3" t="s">
        <v>1958</v>
      </c>
      <c r="G423" s="15">
        <v>46133</v>
      </c>
      <c r="H423" s="16">
        <f t="shared" si="12"/>
        <v>101</v>
      </c>
      <c r="I423" s="16" t="str">
        <f t="shared" si="13"/>
        <v>91 à 120 dias</v>
      </c>
      <c r="J423" s="4">
        <v>1</v>
      </c>
      <c r="K423" s="5">
        <v>1397.64</v>
      </c>
      <c r="L423" s="9">
        <v>75.64</v>
      </c>
      <c r="M423" s="5">
        <v>1503.65</v>
      </c>
      <c r="N423" s="8">
        <v>28674.94</v>
      </c>
      <c r="O423" s="7">
        <v>306083.15999999997</v>
      </c>
      <c r="P423" s="3" t="s">
        <v>0</v>
      </c>
      <c r="Q423" s="3" t="s">
        <v>5</v>
      </c>
    </row>
    <row r="424" spans="1:17" x14ac:dyDescent="0.25">
      <c r="A424" s="3" t="s">
        <v>2020</v>
      </c>
      <c r="B424" s="3" t="s">
        <v>2021</v>
      </c>
      <c r="C424" s="3" t="s">
        <v>50</v>
      </c>
      <c r="D424" s="3" t="s">
        <v>2022</v>
      </c>
      <c r="E424" s="3" t="s">
        <v>1946</v>
      </c>
      <c r="F424" s="3" t="s">
        <v>1966</v>
      </c>
      <c r="G424" s="15">
        <v>46133</v>
      </c>
      <c r="H424" s="16">
        <f t="shared" si="12"/>
        <v>91</v>
      </c>
      <c r="I424" s="16" t="str">
        <f t="shared" si="13"/>
        <v>91 à 120 dias</v>
      </c>
      <c r="J424" s="4">
        <v>7</v>
      </c>
      <c r="K424" s="5">
        <v>6348.86</v>
      </c>
      <c r="L424" s="6">
        <v>223.01</v>
      </c>
      <c r="M424" s="5">
        <v>6690.43</v>
      </c>
      <c r="N424" s="5">
        <v>2839.61</v>
      </c>
      <c r="O424" s="7">
        <v>257914.5</v>
      </c>
      <c r="P424" s="3" t="s">
        <v>0</v>
      </c>
      <c r="Q424" s="3" t="s">
        <v>5</v>
      </c>
    </row>
    <row r="425" spans="1:17" x14ac:dyDescent="0.25">
      <c r="A425" s="3" t="s">
        <v>2023</v>
      </c>
      <c r="B425" s="3" t="s">
        <v>2024</v>
      </c>
      <c r="C425" s="3" t="s">
        <v>164</v>
      </c>
      <c r="D425" s="3" t="s">
        <v>2025</v>
      </c>
      <c r="E425" s="3" t="s">
        <v>837</v>
      </c>
      <c r="F425" s="3" t="s">
        <v>1974</v>
      </c>
      <c r="G425" s="15">
        <v>46133</v>
      </c>
      <c r="H425" s="16">
        <f t="shared" si="12"/>
        <v>96</v>
      </c>
      <c r="I425" s="16" t="str">
        <f t="shared" si="13"/>
        <v>91 à 120 dias</v>
      </c>
      <c r="J425" s="4">
        <v>4</v>
      </c>
      <c r="K425" s="8">
        <v>10951.88</v>
      </c>
      <c r="L425" s="6">
        <v>510.33</v>
      </c>
      <c r="M425" s="5">
        <v>11535.17</v>
      </c>
      <c r="N425" s="5">
        <v>8213.91</v>
      </c>
      <c r="O425" s="7">
        <v>114901.88</v>
      </c>
      <c r="P425" s="3" t="s">
        <v>0</v>
      </c>
      <c r="Q425" s="3" t="s">
        <v>5</v>
      </c>
    </row>
    <row r="426" spans="1:17" x14ac:dyDescent="0.25">
      <c r="A426" s="3" t="s">
        <v>2026</v>
      </c>
      <c r="B426" s="3" t="s">
        <v>2027</v>
      </c>
      <c r="C426" s="3" t="s">
        <v>37</v>
      </c>
      <c r="D426" s="3" t="s">
        <v>2028</v>
      </c>
      <c r="E426" s="3" t="s">
        <v>2029</v>
      </c>
      <c r="F426" s="3" t="s">
        <v>1974</v>
      </c>
      <c r="G426" s="15">
        <v>46133</v>
      </c>
      <c r="H426" s="16">
        <f t="shared" si="12"/>
        <v>96</v>
      </c>
      <c r="I426" s="16" t="str">
        <f t="shared" si="13"/>
        <v>91 à 120 dias</v>
      </c>
      <c r="J426" s="4">
        <v>4</v>
      </c>
      <c r="K426" s="5">
        <v>2247.6799999999998</v>
      </c>
      <c r="L426" s="9">
        <v>83.87</v>
      </c>
      <c r="M426" s="5">
        <v>2331.5500000000002</v>
      </c>
      <c r="N426" s="5">
        <v>5895.72</v>
      </c>
      <c r="O426" s="7">
        <v>128679.67999999999</v>
      </c>
      <c r="P426" s="3" t="s">
        <v>0</v>
      </c>
      <c r="Q426" s="3" t="s">
        <v>5</v>
      </c>
    </row>
    <row r="427" spans="1:17" x14ac:dyDescent="0.25">
      <c r="A427" s="3" t="s">
        <v>2030</v>
      </c>
      <c r="B427" s="3" t="s">
        <v>2031</v>
      </c>
      <c r="C427" s="3" t="s">
        <v>50</v>
      </c>
      <c r="D427" s="3" t="s">
        <v>2032</v>
      </c>
      <c r="E427" s="3" t="s">
        <v>660</v>
      </c>
      <c r="F427" s="3" t="s">
        <v>1904</v>
      </c>
      <c r="G427" s="15">
        <v>46133</v>
      </c>
      <c r="H427" s="16">
        <f t="shared" si="12"/>
        <v>117</v>
      </c>
      <c r="I427" s="16" t="str">
        <f t="shared" si="13"/>
        <v>91 à 120 dias</v>
      </c>
      <c r="J427" s="4">
        <v>1</v>
      </c>
      <c r="K427" s="5">
        <v>1306.3599999999999</v>
      </c>
      <c r="L427" s="9">
        <v>77.95</v>
      </c>
      <c r="M427" s="5">
        <v>1411.58</v>
      </c>
      <c r="N427" s="8">
        <v>15676.32</v>
      </c>
      <c r="O427" s="7">
        <v>297850.08</v>
      </c>
      <c r="P427" s="3" t="s">
        <v>0</v>
      </c>
      <c r="Q427" s="3" t="s">
        <v>5</v>
      </c>
    </row>
    <row r="428" spans="1:17" x14ac:dyDescent="0.25">
      <c r="A428" s="3" t="s">
        <v>2033</v>
      </c>
      <c r="B428" s="3" t="s">
        <v>2031</v>
      </c>
      <c r="C428" s="3" t="s">
        <v>50</v>
      </c>
      <c r="D428" s="3" t="s">
        <v>2034</v>
      </c>
      <c r="E428" s="3" t="s">
        <v>660</v>
      </c>
      <c r="F428" s="3" t="s">
        <v>1904</v>
      </c>
      <c r="G428" s="15">
        <v>46133</v>
      </c>
      <c r="H428" s="16">
        <f t="shared" si="12"/>
        <v>117</v>
      </c>
      <c r="I428" s="16" t="str">
        <f t="shared" si="13"/>
        <v>91 à 120 dias</v>
      </c>
      <c r="J428" s="4">
        <v>1</v>
      </c>
      <c r="K428" s="5">
        <v>1414.96</v>
      </c>
      <c r="L428" s="9">
        <v>84.43</v>
      </c>
      <c r="M428" s="5">
        <v>1528.92</v>
      </c>
      <c r="N428" s="8">
        <v>16979.52</v>
      </c>
      <c r="O428" s="7">
        <v>322610.88</v>
      </c>
      <c r="P428" s="3" t="s">
        <v>0</v>
      </c>
      <c r="Q428" s="3" t="s">
        <v>5</v>
      </c>
    </row>
    <row r="429" spans="1:17" x14ac:dyDescent="0.25">
      <c r="A429" s="3" t="s">
        <v>2035</v>
      </c>
      <c r="B429" s="3" t="s">
        <v>2036</v>
      </c>
      <c r="C429" s="3" t="s">
        <v>37</v>
      </c>
      <c r="D429" s="3" t="s">
        <v>2037</v>
      </c>
      <c r="E429" s="3" t="s">
        <v>376</v>
      </c>
      <c r="F429" s="3" t="s">
        <v>1904</v>
      </c>
      <c r="G429" s="15">
        <v>46133</v>
      </c>
      <c r="H429" s="16">
        <f t="shared" si="12"/>
        <v>117</v>
      </c>
      <c r="I429" s="16" t="str">
        <f t="shared" si="13"/>
        <v>91 à 120 dias</v>
      </c>
      <c r="J429" s="4">
        <v>1</v>
      </c>
      <c r="K429" s="6">
        <v>525.03</v>
      </c>
      <c r="L429" s="9">
        <v>31.65</v>
      </c>
      <c r="M429" s="6">
        <v>556.67999999999995</v>
      </c>
      <c r="N429" s="8">
        <v>12833.14</v>
      </c>
      <c r="O429" s="7">
        <v>119411.43</v>
      </c>
      <c r="P429" s="3" t="s">
        <v>0</v>
      </c>
      <c r="Q429" s="3" t="s">
        <v>5</v>
      </c>
    </row>
    <row r="430" spans="1:17" x14ac:dyDescent="0.25">
      <c r="A430" s="3" t="s">
        <v>2038</v>
      </c>
      <c r="B430" s="3" t="s">
        <v>217</v>
      </c>
      <c r="C430" s="3" t="s">
        <v>128</v>
      </c>
      <c r="D430" s="3" t="s">
        <v>2039</v>
      </c>
      <c r="E430" s="3" t="s">
        <v>2040</v>
      </c>
      <c r="F430" s="3" t="s">
        <v>2041</v>
      </c>
      <c r="G430" s="15">
        <v>46133</v>
      </c>
      <c r="H430" s="16">
        <f t="shared" si="12"/>
        <v>114</v>
      </c>
      <c r="I430" s="16" t="str">
        <f t="shared" si="13"/>
        <v>91 à 120 dias</v>
      </c>
      <c r="J430" s="4">
        <v>1</v>
      </c>
      <c r="K430" s="5">
        <v>3164.12</v>
      </c>
      <c r="L430" s="6">
        <v>184.29</v>
      </c>
      <c r="M430" s="5">
        <v>3348.41</v>
      </c>
      <c r="N430" s="7">
        <v>273377.57</v>
      </c>
      <c r="O430" s="7">
        <v>312786.44</v>
      </c>
      <c r="P430" s="3" t="s">
        <v>0</v>
      </c>
      <c r="Q430" s="3" t="s">
        <v>5</v>
      </c>
    </row>
    <row r="431" spans="1:17" x14ac:dyDescent="0.25">
      <c r="A431" s="3" t="s">
        <v>2042</v>
      </c>
      <c r="B431" s="3" t="s">
        <v>2043</v>
      </c>
      <c r="C431" s="3" t="s">
        <v>759</v>
      </c>
      <c r="D431" s="3" t="s">
        <v>2044</v>
      </c>
      <c r="E431" s="3" t="s">
        <v>359</v>
      </c>
      <c r="F431" s="3" t="s">
        <v>2045</v>
      </c>
      <c r="G431" s="15">
        <v>46133</v>
      </c>
      <c r="H431" s="16">
        <f t="shared" si="12"/>
        <v>112</v>
      </c>
      <c r="I431" s="16" t="str">
        <f t="shared" si="13"/>
        <v>91 à 120 dias</v>
      </c>
      <c r="J431" s="4">
        <v>2</v>
      </c>
      <c r="K431" s="5">
        <v>1278.44</v>
      </c>
      <c r="L431" s="9">
        <v>62.65</v>
      </c>
      <c r="M431" s="5">
        <v>1341.09</v>
      </c>
      <c r="N431" s="8">
        <v>63354.1</v>
      </c>
      <c r="O431" s="8">
        <v>94604.56</v>
      </c>
      <c r="P431" s="3" t="s">
        <v>0</v>
      </c>
      <c r="Q431" s="3" t="s">
        <v>5</v>
      </c>
    </row>
    <row r="432" spans="1:17" x14ac:dyDescent="0.25">
      <c r="A432" s="3" t="s">
        <v>118</v>
      </c>
      <c r="B432" s="3" t="s">
        <v>2043</v>
      </c>
      <c r="C432" s="3" t="s">
        <v>759</v>
      </c>
      <c r="D432" s="3" t="s">
        <v>2046</v>
      </c>
      <c r="E432" s="3" t="s">
        <v>359</v>
      </c>
      <c r="F432" s="3" t="s">
        <v>2045</v>
      </c>
      <c r="G432" s="15">
        <v>46133</v>
      </c>
      <c r="H432" s="16">
        <f t="shared" si="12"/>
        <v>112</v>
      </c>
      <c r="I432" s="16" t="str">
        <f t="shared" si="13"/>
        <v>91 à 120 dias</v>
      </c>
      <c r="J432" s="4">
        <v>2</v>
      </c>
      <c r="K432" s="5">
        <v>1278.48</v>
      </c>
      <c r="L432" s="9">
        <v>62.65</v>
      </c>
      <c r="M432" s="5">
        <v>1341.13</v>
      </c>
      <c r="N432" s="8">
        <v>63130.05</v>
      </c>
      <c r="O432" s="8">
        <v>94607.52</v>
      </c>
      <c r="P432" s="3" t="s">
        <v>0</v>
      </c>
      <c r="Q432" s="3" t="s">
        <v>5</v>
      </c>
    </row>
    <row r="433" spans="1:17" x14ac:dyDescent="0.25">
      <c r="A433" s="3" t="s">
        <v>2047</v>
      </c>
      <c r="B433" s="3" t="s">
        <v>2048</v>
      </c>
      <c r="C433" s="3" t="s">
        <v>50</v>
      </c>
      <c r="D433" s="3" t="s">
        <v>2049</v>
      </c>
      <c r="E433" s="3" t="s">
        <v>2050</v>
      </c>
      <c r="F433" s="3" t="s">
        <v>1904</v>
      </c>
      <c r="G433" s="15">
        <v>46133</v>
      </c>
      <c r="H433" s="16">
        <f t="shared" si="12"/>
        <v>117</v>
      </c>
      <c r="I433" s="16" t="str">
        <f t="shared" si="13"/>
        <v>91 à 120 dias</v>
      </c>
      <c r="J433" s="4">
        <v>1</v>
      </c>
      <c r="K433" s="5">
        <v>1395.12</v>
      </c>
      <c r="L433" s="9">
        <v>83.41</v>
      </c>
      <c r="M433" s="5">
        <v>1478.53</v>
      </c>
      <c r="N433" s="8">
        <v>49832.07</v>
      </c>
      <c r="O433" s="7">
        <v>121375.44</v>
      </c>
      <c r="P433" s="3" t="s">
        <v>0</v>
      </c>
      <c r="Q433" s="3" t="s">
        <v>5</v>
      </c>
    </row>
    <row r="434" spans="1:17" x14ac:dyDescent="0.25">
      <c r="A434" s="3" t="s">
        <v>503</v>
      </c>
      <c r="B434" s="3" t="s">
        <v>2051</v>
      </c>
      <c r="C434" s="3" t="s">
        <v>194</v>
      </c>
      <c r="D434" s="3" t="s">
        <v>2052</v>
      </c>
      <c r="E434" s="3" t="s">
        <v>2053</v>
      </c>
      <c r="F434" s="3" t="s">
        <v>2045</v>
      </c>
      <c r="G434" s="15">
        <v>46133</v>
      </c>
      <c r="H434" s="16">
        <f t="shared" si="12"/>
        <v>112</v>
      </c>
      <c r="I434" s="16" t="str">
        <f t="shared" si="13"/>
        <v>91 à 120 dias</v>
      </c>
      <c r="J434" s="4">
        <v>3</v>
      </c>
      <c r="K434" s="5">
        <v>9942.56</v>
      </c>
      <c r="L434" s="6">
        <v>405.72</v>
      </c>
      <c r="M434" s="8">
        <v>10348.280000000001</v>
      </c>
      <c r="N434" s="7">
        <v>150577.38</v>
      </c>
      <c r="O434" s="7">
        <v>366848.76</v>
      </c>
      <c r="P434" s="3" t="s">
        <v>0</v>
      </c>
      <c r="Q434" s="3" t="s">
        <v>5</v>
      </c>
    </row>
    <row r="435" spans="1:17" x14ac:dyDescent="0.25">
      <c r="A435" s="3" t="s">
        <v>2054</v>
      </c>
      <c r="B435" s="3" t="s">
        <v>2055</v>
      </c>
      <c r="C435" s="3" t="s">
        <v>50</v>
      </c>
      <c r="D435" s="3" t="s">
        <v>2056</v>
      </c>
      <c r="E435" s="3" t="s">
        <v>303</v>
      </c>
      <c r="F435" s="3" t="s">
        <v>1904</v>
      </c>
      <c r="G435" s="15">
        <v>46133</v>
      </c>
      <c r="H435" s="16">
        <f t="shared" si="12"/>
        <v>117</v>
      </c>
      <c r="I435" s="16" t="str">
        <f t="shared" si="13"/>
        <v>91 à 120 dias</v>
      </c>
      <c r="J435" s="4">
        <v>3</v>
      </c>
      <c r="K435" s="5">
        <v>5201.91</v>
      </c>
      <c r="L435" s="6">
        <v>218.52</v>
      </c>
      <c r="M435" s="5">
        <v>5480.18</v>
      </c>
      <c r="N435" s="5">
        <v>1733.97</v>
      </c>
      <c r="O435" s="7">
        <v>247957.71</v>
      </c>
      <c r="P435" s="3" t="s">
        <v>0</v>
      </c>
      <c r="Q435" s="3" t="s">
        <v>5</v>
      </c>
    </row>
    <row r="436" spans="1:17" x14ac:dyDescent="0.25">
      <c r="A436" s="3" t="s">
        <v>905</v>
      </c>
      <c r="B436" s="3" t="s">
        <v>2057</v>
      </c>
      <c r="C436" s="3" t="s">
        <v>190</v>
      </c>
      <c r="D436" s="3" t="s">
        <v>2058</v>
      </c>
      <c r="E436" s="3" t="s">
        <v>1933</v>
      </c>
      <c r="F436" s="3" t="s">
        <v>1904</v>
      </c>
      <c r="G436" s="15">
        <v>46133</v>
      </c>
      <c r="H436" s="16">
        <f t="shared" si="12"/>
        <v>117</v>
      </c>
      <c r="I436" s="16" t="str">
        <f t="shared" si="13"/>
        <v>91 à 120 dias</v>
      </c>
      <c r="J436" s="4">
        <v>5</v>
      </c>
      <c r="K436" s="8">
        <v>25690.080000000002</v>
      </c>
      <c r="L436" s="5">
        <v>1395.06</v>
      </c>
      <c r="M436" s="5">
        <v>27208.98</v>
      </c>
      <c r="N436" s="5">
        <v>7148.55</v>
      </c>
      <c r="O436" s="7">
        <v>196584.78</v>
      </c>
      <c r="P436" s="3" t="s">
        <v>0</v>
      </c>
      <c r="Q436" s="3" t="s">
        <v>5</v>
      </c>
    </row>
    <row r="437" spans="1:17" x14ac:dyDescent="0.25">
      <c r="A437" s="3" t="s">
        <v>2059</v>
      </c>
      <c r="B437" s="3" t="s">
        <v>2060</v>
      </c>
      <c r="C437" s="3" t="s">
        <v>31</v>
      </c>
      <c r="D437" s="3" t="s">
        <v>2061</v>
      </c>
      <c r="E437" s="3" t="s">
        <v>157</v>
      </c>
      <c r="F437" s="3" t="s">
        <v>1904</v>
      </c>
      <c r="G437" s="15">
        <v>46133</v>
      </c>
      <c r="H437" s="16">
        <f t="shared" si="12"/>
        <v>117</v>
      </c>
      <c r="I437" s="16" t="str">
        <f t="shared" si="13"/>
        <v>91 à 120 dias</v>
      </c>
      <c r="J437" s="4">
        <v>3</v>
      </c>
      <c r="K437" s="8">
        <v>41000</v>
      </c>
      <c r="L437" s="5">
        <v>2385.34</v>
      </c>
      <c r="M437" s="8">
        <v>43385.34</v>
      </c>
      <c r="N437" s="7">
        <v>217628.33</v>
      </c>
      <c r="O437" s="8">
        <v>51500</v>
      </c>
      <c r="P437" s="3" t="s">
        <v>0</v>
      </c>
      <c r="Q437" s="3" t="s">
        <v>5</v>
      </c>
    </row>
    <row r="438" spans="1:17" x14ac:dyDescent="0.25">
      <c r="A438" s="3" t="s">
        <v>2062</v>
      </c>
      <c r="B438" s="3" t="s">
        <v>2063</v>
      </c>
      <c r="C438" s="3" t="s">
        <v>94</v>
      </c>
      <c r="D438" s="3" t="s">
        <v>2064</v>
      </c>
      <c r="E438" s="3" t="s">
        <v>212</v>
      </c>
      <c r="F438" s="3" t="s">
        <v>1904</v>
      </c>
      <c r="G438" s="15">
        <v>46133</v>
      </c>
      <c r="H438" s="16">
        <f t="shared" si="12"/>
        <v>117</v>
      </c>
      <c r="I438" s="16" t="str">
        <f t="shared" si="13"/>
        <v>91 à 120 dias</v>
      </c>
      <c r="J438" s="4">
        <v>4</v>
      </c>
      <c r="K438" s="5">
        <v>2954.8</v>
      </c>
      <c r="L438" s="6">
        <v>163.78</v>
      </c>
      <c r="M438" s="5">
        <v>3118.58</v>
      </c>
      <c r="N438" s="6">
        <v>738.7</v>
      </c>
      <c r="O438" s="7">
        <v>132227.29999999999</v>
      </c>
      <c r="P438" s="3" t="s">
        <v>0</v>
      </c>
      <c r="Q438" s="3" t="s">
        <v>5</v>
      </c>
    </row>
    <row r="439" spans="1:17" x14ac:dyDescent="0.25">
      <c r="A439" s="3" t="s">
        <v>2065</v>
      </c>
      <c r="B439" s="3" t="s">
        <v>2063</v>
      </c>
      <c r="C439" s="3" t="s">
        <v>94</v>
      </c>
      <c r="D439" s="3" t="s">
        <v>2066</v>
      </c>
      <c r="E439" s="3" t="s">
        <v>212</v>
      </c>
      <c r="F439" s="3" t="s">
        <v>1904</v>
      </c>
      <c r="G439" s="15">
        <v>46133</v>
      </c>
      <c r="H439" s="16">
        <f t="shared" si="12"/>
        <v>117</v>
      </c>
      <c r="I439" s="16" t="str">
        <f t="shared" si="13"/>
        <v>91 à 120 dias</v>
      </c>
      <c r="J439" s="4">
        <v>4</v>
      </c>
      <c r="K439" s="5">
        <v>2954.8</v>
      </c>
      <c r="L439" s="6">
        <v>163.78</v>
      </c>
      <c r="M439" s="5">
        <v>3118.58</v>
      </c>
      <c r="N439" s="6">
        <v>738.7</v>
      </c>
      <c r="O439" s="7">
        <v>132227.29999999999</v>
      </c>
      <c r="P439" s="3" t="s">
        <v>0</v>
      </c>
      <c r="Q439" s="3" t="s">
        <v>5</v>
      </c>
    </row>
    <row r="440" spans="1:17" x14ac:dyDescent="0.25">
      <c r="A440" s="3" t="s">
        <v>2067</v>
      </c>
      <c r="B440" s="3" t="s">
        <v>2068</v>
      </c>
      <c r="C440" s="3" t="s">
        <v>50</v>
      </c>
      <c r="D440" s="3" t="s">
        <v>2069</v>
      </c>
      <c r="E440" s="3" t="s">
        <v>2070</v>
      </c>
      <c r="F440" s="3" t="s">
        <v>1904</v>
      </c>
      <c r="G440" s="15">
        <v>46133</v>
      </c>
      <c r="H440" s="16">
        <f t="shared" si="12"/>
        <v>117</v>
      </c>
      <c r="I440" s="16" t="str">
        <f t="shared" si="13"/>
        <v>91 à 120 dias</v>
      </c>
      <c r="J440" s="4">
        <v>3</v>
      </c>
      <c r="K440" s="5">
        <v>4165.0200000000004</v>
      </c>
      <c r="L440" s="6">
        <v>207.59</v>
      </c>
      <c r="M440" s="5">
        <v>4427.91</v>
      </c>
      <c r="N440" s="8">
        <v>26220.97</v>
      </c>
      <c r="O440" s="7">
        <v>223522.74</v>
      </c>
      <c r="P440" s="3" t="s">
        <v>0</v>
      </c>
      <c r="Q440" s="3" t="s">
        <v>5</v>
      </c>
    </row>
    <row r="441" spans="1:17" x14ac:dyDescent="0.25">
      <c r="A441" s="3" t="s">
        <v>2071</v>
      </c>
      <c r="B441" s="3" t="s">
        <v>2072</v>
      </c>
      <c r="C441" s="3" t="s">
        <v>190</v>
      </c>
      <c r="D441" s="3" t="s">
        <v>2073</v>
      </c>
      <c r="E441" s="3" t="s">
        <v>1943</v>
      </c>
      <c r="F441" s="3" t="s">
        <v>1904</v>
      </c>
      <c r="G441" s="15">
        <v>46133</v>
      </c>
      <c r="H441" s="16">
        <f t="shared" si="12"/>
        <v>117</v>
      </c>
      <c r="I441" s="16" t="str">
        <f t="shared" si="13"/>
        <v>91 à 120 dias</v>
      </c>
      <c r="J441" s="4">
        <v>2</v>
      </c>
      <c r="K441" s="8">
        <v>14400</v>
      </c>
      <c r="L441" s="6">
        <v>981.84</v>
      </c>
      <c r="M441" s="5">
        <v>15442.32</v>
      </c>
      <c r="N441" s="8">
        <v>12300</v>
      </c>
      <c r="O441" s="7">
        <v>131700</v>
      </c>
      <c r="P441" s="3" t="s">
        <v>0</v>
      </c>
      <c r="Q441" s="3" t="s">
        <v>5</v>
      </c>
    </row>
    <row r="442" spans="1:17" x14ac:dyDescent="0.25">
      <c r="A442" s="3" t="s">
        <v>2074</v>
      </c>
      <c r="B442" s="3" t="s">
        <v>2075</v>
      </c>
      <c r="C442" s="3" t="s">
        <v>50</v>
      </c>
      <c r="D442" s="3" t="s">
        <v>2076</v>
      </c>
      <c r="E442" s="3" t="s">
        <v>1946</v>
      </c>
      <c r="F442" s="3" t="s">
        <v>2077</v>
      </c>
      <c r="G442" s="15">
        <v>46133</v>
      </c>
      <c r="H442" s="16">
        <f t="shared" si="12"/>
        <v>106</v>
      </c>
      <c r="I442" s="16" t="str">
        <f t="shared" si="13"/>
        <v>91 à 120 dias</v>
      </c>
      <c r="J442" s="4">
        <v>4</v>
      </c>
      <c r="K442" s="5">
        <v>4340.12</v>
      </c>
      <c r="L442" s="6">
        <v>179.54</v>
      </c>
      <c r="M442" s="5">
        <v>4588.1899999999996</v>
      </c>
      <c r="N442" s="5">
        <v>8680.24</v>
      </c>
      <c r="O442" s="7">
        <v>251726.96</v>
      </c>
      <c r="P442" s="3" t="s">
        <v>0</v>
      </c>
      <c r="Q442" s="3" t="s">
        <v>5</v>
      </c>
    </row>
    <row r="443" spans="1:17" x14ac:dyDescent="0.25">
      <c r="A443" s="3" t="s">
        <v>2078</v>
      </c>
      <c r="B443" s="3" t="s">
        <v>2079</v>
      </c>
      <c r="C443" s="3" t="s">
        <v>50</v>
      </c>
      <c r="D443" s="3" t="s">
        <v>2080</v>
      </c>
      <c r="E443" s="3" t="s">
        <v>2081</v>
      </c>
      <c r="F443" s="3" t="s">
        <v>2082</v>
      </c>
      <c r="G443" s="15">
        <v>46133</v>
      </c>
      <c r="H443" s="16">
        <f t="shared" si="12"/>
        <v>111</v>
      </c>
      <c r="I443" s="16" t="str">
        <f t="shared" si="13"/>
        <v>91 à 120 dias</v>
      </c>
      <c r="J443" s="4">
        <v>3</v>
      </c>
      <c r="K443" s="5">
        <v>5506.32</v>
      </c>
      <c r="L443" s="6">
        <v>261.39</v>
      </c>
      <c r="M443" s="5">
        <v>5767.71</v>
      </c>
      <c r="N443" s="8">
        <v>50679.41</v>
      </c>
      <c r="O443" s="7">
        <v>167025.04</v>
      </c>
      <c r="P443" s="3" t="s">
        <v>0</v>
      </c>
      <c r="Q443" s="3" t="s">
        <v>5</v>
      </c>
    </row>
    <row r="444" spans="1:17" x14ac:dyDescent="0.25">
      <c r="A444" s="3" t="s">
        <v>2083</v>
      </c>
      <c r="B444" s="3" t="s">
        <v>2084</v>
      </c>
      <c r="C444" s="3" t="s">
        <v>164</v>
      </c>
      <c r="D444" s="3" t="s">
        <v>2085</v>
      </c>
      <c r="E444" s="3" t="s">
        <v>762</v>
      </c>
      <c r="F444" s="3" t="s">
        <v>2045</v>
      </c>
      <c r="G444" s="15">
        <v>46133</v>
      </c>
      <c r="H444" s="16">
        <f t="shared" si="12"/>
        <v>112</v>
      </c>
      <c r="I444" s="16" t="str">
        <f t="shared" si="13"/>
        <v>91 à 120 dias</v>
      </c>
      <c r="J444" s="4">
        <v>4</v>
      </c>
      <c r="K444" s="5">
        <v>5111.72</v>
      </c>
      <c r="L444" s="6">
        <v>279.07</v>
      </c>
      <c r="M444" s="5">
        <v>5413.12</v>
      </c>
      <c r="N444" s="5">
        <v>6482.3</v>
      </c>
      <c r="O444" s="7">
        <v>218725.94</v>
      </c>
      <c r="P444" s="3" t="s">
        <v>0</v>
      </c>
      <c r="Q444" s="3" t="s">
        <v>5</v>
      </c>
    </row>
    <row r="445" spans="1:17" x14ac:dyDescent="0.25">
      <c r="A445" s="3" t="s">
        <v>425</v>
      </c>
      <c r="B445" s="3" t="s">
        <v>2086</v>
      </c>
      <c r="C445" s="3" t="s">
        <v>50</v>
      </c>
      <c r="D445" s="3" t="s">
        <v>2087</v>
      </c>
      <c r="E445" s="3" t="s">
        <v>2088</v>
      </c>
      <c r="F445" s="3" t="s">
        <v>1904</v>
      </c>
      <c r="G445" s="15">
        <v>46133</v>
      </c>
      <c r="H445" s="16">
        <f t="shared" si="12"/>
        <v>117</v>
      </c>
      <c r="I445" s="16" t="str">
        <f t="shared" si="13"/>
        <v>91 à 120 dias</v>
      </c>
      <c r="J445" s="4">
        <v>8</v>
      </c>
      <c r="K445" s="8">
        <v>11801.88</v>
      </c>
      <c r="L445" s="6">
        <v>486.54</v>
      </c>
      <c r="M445" s="5">
        <v>12476.07</v>
      </c>
      <c r="N445" s="8">
        <v>10690.68</v>
      </c>
      <c r="O445" s="7">
        <v>312274.31</v>
      </c>
      <c r="P445" s="3" t="s">
        <v>0</v>
      </c>
      <c r="Q445" s="3" t="s">
        <v>5</v>
      </c>
    </row>
    <row r="446" spans="1:17" x14ac:dyDescent="0.25">
      <c r="A446" s="3" t="s">
        <v>2089</v>
      </c>
      <c r="B446" s="3" t="s">
        <v>2086</v>
      </c>
      <c r="C446" s="3" t="s">
        <v>50</v>
      </c>
      <c r="D446" s="3" t="s">
        <v>2090</v>
      </c>
      <c r="E446" s="3" t="s">
        <v>2088</v>
      </c>
      <c r="F446" s="3" t="s">
        <v>1904</v>
      </c>
      <c r="G446" s="15">
        <v>46133</v>
      </c>
      <c r="H446" s="16">
        <f t="shared" si="12"/>
        <v>117</v>
      </c>
      <c r="I446" s="16" t="str">
        <f t="shared" si="13"/>
        <v>91 à 120 dias</v>
      </c>
      <c r="J446" s="4">
        <v>8</v>
      </c>
      <c r="K446" s="8">
        <v>11886.32</v>
      </c>
      <c r="L446" s="6">
        <v>490</v>
      </c>
      <c r="M446" s="5">
        <v>12565.32</v>
      </c>
      <c r="N446" s="8">
        <v>10768.84</v>
      </c>
      <c r="O446" s="7">
        <v>314508.46999999997</v>
      </c>
      <c r="P446" s="3" t="s">
        <v>0</v>
      </c>
      <c r="Q446" s="3" t="s">
        <v>5</v>
      </c>
    </row>
    <row r="447" spans="1:17" x14ac:dyDescent="0.25">
      <c r="A447" s="3" t="s">
        <v>2091</v>
      </c>
      <c r="B447" s="3" t="s">
        <v>2086</v>
      </c>
      <c r="C447" s="3" t="s">
        <v>50</v>
      </c>
      <c r="D447" s="3" t="s">
        <v>2092</v>
      </c>
      <c r="E447" s="3" t="s">
        <v>2093</v>
      </c>
      <c r="F447" s="3" t="s">
        <v>1904</v>
      </c>
      <c r="G447" s="15">
        <v>46133</v>
      </c>
      <c r="H447" s="16">
        <f t="shared" si="12"/>
        <v>117</v>
      </c>
      <c r="I447" s="16" t="str">
        <f t="shared" si="13"/>
        <v>91 à 120 dias</v>
      </c>
      <c r="J447" s="4">
        <v>8</v>
      </c>
      <c r="K447" s="8">
        <v>12318.64</v>
      </c>
      <c r="L447" s="6">
        <v>513.97</v>
      </c>
      <c r="M447" s="5">
        <v>12957.23</v>
      </c>
      <c r="N447" s="8">
        <v>31920.41</v>
      </c>
      <c r="O447" s="7">
        <v>135259.04</v>
      </c>
      <c r="P447" s="3" t="s">
        <v>0</v>
      </c>
      <c r="Q447" s="3" t="s">
        <v>5</v>
      </c>
    </row>
    <row r="448" spans="1:17" x14ac:dyDescent="0.25">
      <c r="A448" s="3" t="s">
        <v>2094</v>
      </c>
      <c r="B448" s="3" t="s">
        <v>2086</v>
      </c>
      <c r="C448" s="3" t="s">
        <v>50</v>
      </c>
      <c r="D448" s="3" t="s">
        <v>2095</v>
      </c>
      <c r="E448" s="3" t="s">
        <v>2093</v>
      </c>
      <c r="F448" s="3" t="s">
        <v>1904</v>
      </c>
      <c r="G448" s="15">
        <v>46133</v>
      </c>
      <c r="H448" s="16">
        <f t="shared" si="12"/>
        <v>117</v>
      </c>
      <c r="I448" s="16" t="str">
        <f t="shared" si="13"/>
        <v>91 à 120 dias</v>
      </c>
      <c r="J448" s="4">
        <v>8</v>
      </c>
      <c r="K448" s="8">
        <v>12318.64</v>
      </c>
      <c r="L448" s="6">
        <v>513.97</v>
      </c>
      <c r="M448" s="5">
        <v>12957.23</v>
      </c>
      <c r="N448" s="8">
        <v>31920.41</v>
      </c>
      <c r="O448" s="7">
        <v>135259.04</v>
      </c>
      <c r="P448" s="3" t="s">
        <v>0</v>
      </c>
      <c r="Q448" s="3" t="s">
        <v>5</v>
      </c>
    </row>
    <row r="449" spans="1:17" x14ac:dyDescent="0.25">
      <c r="A449" s="3" t="s">
        <v>2096</v>
      </c>
      <c r="B449" s="3" t="s">
        <v>2097</v>
      </c>
      <c r="C449" s="3" t="s">
        <v>50</v>
      </c>
      <c r="D449" s="3" t="s">
        <v>2098</v>
      </c>
      <c r="E449" s="3" t="s">
        <v>111</v>
      </c>
      <c r="F449" s="3" t="s">
        <v>1904</v>
      </c>
      <c r="G449" s="15">
        <v>46133</v>
      </c>
      <c r="H449" s="16">
        <f t="shared" si="12"/>
        <v>117</v>
      </c>
      <c r="I449" s="16" t="str">
        <f t="shared" si="13"/>
        <v>91 à 120 dias</v>
      </c>
      <c r="J449" s="4">
        <v>8</v>
      </c>
      <c r="K449" s="5">
        <v>8975.15</v>
      </c>
      <c r="L449" s="6">
        <v>379.54</v>
      </c>
      <c r="M449" s="5">
        <v>9495.57</v>
      </c>
      <c r="N449" s="8">
        <v>42073.47</v>
      </c>
      <c r="O449" s="7">
        <v>154533.17000000001</v>
      </c>
      <c r="P449" s="3" t="s">
        <v>0</v>
      </c>
      <c r="Q449" s="3" t="s">
        <v>5</v>
      </c>
    </row>
    <row r="450" spans="1:17" x14ac:dyDescent="0.25">
      <c r="A450" s="3" t="s">
        <v>2099</v>
      </c>
      <c r="B450" s="3" t="s">
        <v>2100</v>
      </c>
      <c r="C450" s="3" t="s">
        <v>37</v>
      </c>
      <c r="D450" s="3" t="s">
        <v>2101</v>
      </c>
      <c r="E450" s="3" t="s">
        <v>894</v>
      </c>
      <c r="F450" s="3" t="s">
        <v>1904</v>
      </c>
      <c r="G450" s="15">
        <v>46133</v>
      </c>
      <c r="H450" s="16">
        <f t="shared" ref="H450:H513" si="14">G450-F450</f>
        <v>117</v>
      </c>
      <c r="I450" s="16" t="str">
        <f t="shared" ref="I450:I513" si="15">+IF(H450&lt;35,"Adimplente",IF(H450&lt;=60,"35 à 60 dias",IF(H450&lt;=90,"61 à 90 dias",IF(H450&lt;=120,"91 à 120 dias",IF(H450&lt;=180,"121 à 180 dias",IF(H450&lt;=240,"181 à 240 dias",IF(H450&lt;=365,"241 à 365 dias","Maior 365 dias")))))))</f>
        <v>91 à 120 dias</v>
      </c>
      <c r="J450" s="4">
        <v>8</v>
      </c>
      <c r="K450" s="5">
        <v>4025.4</v>
      </c>
      <c r="L450" s="6">
        <v>170.9</v>
      </c>
      <c r="M450" s="5">
        <v>4196.3</v>
      </c>
      <c r="N450" s="5">
        <v>5706.81</v>
      </c>
      <c r="O450" s="7">
        <v>127542.87</v>
      </c>
      <c r="P450" s="3" t="s">
        <v>0</v>
      </c>
      <c r="Q450" s="3" t="s">
        <v>5</v>
      </c>
    </row>
    <row r="451" spans="1:17" x14ac:dyDescent="0.25">
      <c r="A451" s="3" t="s">
        <v>2102</v>
      </c>
      <c r="B451" s="3" t="s">
        <v>2103</v>
      </c>
      <c r="C451" s="3" t="s">
        <v>883</v>
      </c>
      <c r="D451" s="3" t="s">
        <v>2104</v>
      </c>
      <c r="E451" s="3" t="s">
        <v>669</v>
      </c>
      <c r="F451" s="3" t="s">
        <v>1904</v>
      </c>
      <c r="G451" s="15">
        <v>46133</v>
      </c>
      <c r="H451" s="16">
        <f t="shared" si="14"/>
        <v>117</v>
      </c>
      <c r="I451" s="16" t="str">
        <f t="shared" si="15"/>
        <v>91 à 120 dias</v>
      </c>
      <c r="J451" s="4">
        <v>1</v>
      </c>
      <c r="K451" s="5">
        <v>5866.71</v>
      </c>
      <c r="L451" s="6">
        <v>346.68</v>
      </c>
      <c r="M451" s="5">
        <v>6213.39</v>
      </c>
      <c r="N451" s="8">
        <v>32266.92</v>
      </c>
      <c r="O451" s="7">
        <v>246401.82</v>
      </c>
      <c r="P451" s="3" t="s">
        <v>0</v>
      </c>
      <c r="Q451" s="3" t="s">
        <v>5</v>
      </c>
    </row>
    <row r="452" spans="1:17" x14ac:dyDescent="0.25">
      <c r="A452" s="3" t="s">
        <v>2105</v>
      </c>
      <c r="B452" s="3" t="s">
        <v>2106</v>
      </c>
      <c r="C452" s="3" t="s">
        <v>50</v>
      </c>
      <c r="D452" s="3" t="s">
        <v>2107</v>
      </c>
      <c r="E452" s="3" t="s">
        <v>2108</v>
      </c>
      <c r="F452" s="3" t="s">
        <v>1904</v>
      </c>
      <c r="G452" s="15">
        <v>46133</v>
      </c>
      <c r="H452" s="16">
        <f t="shared" si="14"/>
        <v>117</v>
      </c>
      <c r="I452" s="16" t="str">
        <f t="shared" si="15"/>
        <v>91 à 120 dias</v>
      </c>
      <c r="J452" s="4">
        <v>1</v>
      </c>
      <c r="K452" s="6">
        <v>947.61</v>
      </c>
      <c r="L452" s="9">
        <v>56.22</v>
      </c>
      <c r="M452" s="5">
        <v>1024.3699999999999</v>
      </c>
      <c r="N452" s="8">
        <v>24176.21</v>
      </c>
      <c r="O452" s="7">
        <v>202788.54</v>
      </c>
      <c r="P452" s="3" t="s">
        <v>0</v>
      </c>
      <c r="Q452" s="3" t="s">
        <v>5</v>
      </c>
    </row>
    <row r="453" spans="1:17" x14ac:dyDescent="0.25">
      <c r="A453" s="3" t="s">
        <v>1143</v>
      </c>
      <c r="B453" s="3" t="s">
        <v>2109</v>
      </c>
      <c r="C453" s="3" t="s">
        <v>94</v>
      </c>
      <c r="D453" s="3" t="s">
        <v>2110</v>
      </c>
      <c r="E453" s="3" t="s">
        <v>1050</v>
      </c>
      <c r="F453" s="3" t="s">
        <v>1904</v>
      </c>
      <c r="G453" s="15">
        <v>46133</v>
      </c>
      <c r="H453" s="16">
        <f t="shared" si="14"/>
        <v>117</v>
      </c>
      <c r="I453" s="16" t="str">
        <f t="shared" si="15"/>
        <v>91 à 120 dias</v>
      </c>
      <c r="J453" s="4">
        <v>1</v>
      </c>
      <c r="K453" s="6">
        <v>811.84</v>
      </c>
      <c r="L453" s="9">
        <v>47.68</v>
      </c>
      <c r="M453" s="6">
        <v>859.52</v>
      </c>
      <c r="N453" s="8">
        <v>13166.1</v>
      </c>
      <c r="O453" s="7">
        <v>132329.92000000001</v>
      </c>
      <c r="P453" s="3" t="s">
        <v>0</v>
      </c>
      <c r="Q453" s="3" t="s">
        <v>5</v>
      </c>
    </row>
    <row r="454" spans="1:17" x14ac:dyDescent="0.25">
      <c r="A454" s="3" t="s">
        <v>2111</v>
      </c>
      <c r="B454" s="3" t="s">
        <v>2112</v>
      </c>
      <c r="C454" s="3" t="s">
        <v>25</v>
      </c>
      <c r="D454" s="3" t="s">
        <v>2113</v>
      </c>
      <c r="E454" s="3" t="s">
        <v>537</v>
      </c>
      <c r="F454" s="3" t="s">
        <v>1904</v>
      </c>
      <c r="G454" s="15">
        <v>46133</v>
      </c>
      <c r="H454" s="16">
        <f t="shared" si="14"/>
        <v>117</v>
      </c>
      <c r="I454" s="16" t="str">
        <f t="shared" si="15"/>
        <v>91 à 120 dias</v>
      </c>
      <c r="J454" s="4">
        <v>5</v>
      </c>
      <c r="K454" s="5">
        <v>4856.1000000000004</v>
      </c>
      <c r="L454" s="6">
        <v>195.97</v>
      </c>
      <c r="M454" s="5">
        <v>5052.07</v>
      </c>
      <c r="N454" s="8">
        <v>16919.78</v>
      </c>
      <c r="O454" s="8">
        <v>94040.1</v>
      </c>
      <c r="P454" s="3" t="s">
        <v>0</v>
      </c>
      <c r="Q454" s="3" t="s">
        <v>5</v>
      </c>
    </row>
    <row r="455" spans="1:17" x14ac:dyDescent="0.25">
      <c r="A455" s="3" t="s">
        <v>2114</v>
      </c>
      <c r="B455" s="3" t="s">
        <v>2115</v>
      </c>
      <c r="C455" s="3" t="s">
        <v>94</v>
      </c>
      <c r="D455" s="3" t="s">
        <v>2116</v>
      </c>
      <c r="E455" s="3" t="s">
        <v>1943</v>
      </c>
      <c r="F455" s="3" t="s">
        <v>1904</v>
      </c>
      <c r="G455" s="15">
        <v>46133</v>
      </c>
      <c r="H455" s="16">
        <f t="shared" si="14"/>
        <v>117</v>
      </c>
      <c r="I455" s="16" t="str">
        <f t="shared" si="15"/>
        <v>91 à 120 dias</v>
      </c>
      <c r="J455" s="4">
        <v>1</v>
      </c>
      <c r="K455" s="6">
        <v>785.67</v>
      </c>
      <c r="L455" s="9">
        <v>58.8</v>
      </c>
      <c r="M455" s="6">
        <v>844.47</v>
      </c>
      <c r="N455" s="5">
        <v>5257.9</v>
      </c>
      <c r="O455" s="7">
        <v>128849.88</v>
      </c>
      <c r="P455" s="3" t="s">
        <v>0</v>
      </c>
      <c r="Q455" s="3" t="s">
        <v>5</v>
      </c>
    </row>
    <row r="456" spans="1:17" x14ac:dyDescent="0.25">
      <c r="A456" s="3" t="s">
        <v>272</v>
      </c>
      <c r="B456" s="3" t="s">
        <v>2117</v>
      </c>
      <c r="C456" s="3" t="s">
        <v>50</v>
      </c>
      <c r="D456" s="3" t="s">
        <v>2118</v>
      </c>
      <c r="E456" s="3" t="s">
        <v>315</v>
      </c>
      <c r="F456" s="3" t="s">
        <v>2045</v>
      </c>
      <c r="G456" s="15">
        <v>46133</v>
      </c>
      <c r="H456" s="16">
        <f t="shared" si="14"/>
        <v>112</v>
      </c>
      <c r="I456" s="16" t="str">
        <f t="shared" si="15"/>
        <v>91 à 120 dias</v>
      </c>
      <c r="J456" s="4">
        <v>4</v>
      </c>
      <c r="K456" s="5">
        <v>5643.64</v>
      </c>
      <c r="L456" s="6">
        <v>239.39</v>
      </c>
      <c r="M456" s="5">
        <v>5887.77</v>
      </c>
      <c r="N456" s="8">
        <v>81409.48</v>
      </c>
      <c r="O456" s="5">
        <v>7054.55</v>
      </c>
      <c r="P456" s="3" t="s">
        <v>0</v>
      </c>
      <c r="Q456" s="3" t="s">
        <v>5</v>
      </c>
    </row>
    <row r="457" spans="1:17" x14ac:dyDescent="0.25">
      <c r="A457" s="3" t="s">
        <v>2119</v>
      </c>
      <c r="B457" s="3" t="s">
        <v>2120</v>
      </c>
      <c r="C457" s="3" t="s">
        <v>37</v>
      </c>
      <c r="D457" s="3" t="s">
        <v>2121</v>
      </c>
      <c r="E457" s="3" t="s">
        <v>2122</v>
      </c>
      <c r="F457" s="3" t="s">
        <v>1904</v>
      </c>
      <c r="G457" s="15">
        <v>46133</v>
      </c>
      <c r="H457" s="16">
        <f t="shared" si="14"/>
        <v>117</v>
      </c>
      <c r="I457" s="16" t="str">
        <f t="shared" si="15"/>
        <v>91 à 120 dias</v>
      </c>
      <c r="J457" s="4">
        <v>5</v>
      </c>
      <c r="K457" s="5">
        <v>3587.67</v>
      </c>
      <c r="L457" s="6">
        <v>180.73</v>
      </c>
      <c r="M457" s="5">
        <v>3768.4</v>
      </c>
      <c r="N457" s="8">
        <v>10771.38</v>
      </c>
      <c r="O457" s="7">
        <v>178065.1</v>
      </c>
      <c r="P457" s="3" t="s">
        <v>0</v>
      </c>
      <c r="Q457" s="3" t="s">
        <v>5</v>
      </c>
    </row>
    <row r="458" spans="1:17" x14ac:dyDescent="0.25">
      <c r="A458" s="3" t="s">
        <v>2123</v>
      </c>
      <c r="B458" s="3" t="s">
        <v>2124</v>
      </c>
      <c r="C458" s="3" t="s">
        <v>128</v>
      </c>
      <c r="D458" s="3" t="s">
        <v>2125</v>
      </c>
      <c r="E458" s="3" t="s">
        <v>2126</v>
      </c>
      <c r="F458" s="3" t="s">
        <v>1958</v>
      </c>
      <c r="G458" s="15">
        <v>46133</v>
      </c>
      <c r="H458" s="16">
        <f t="shared" si="14"/>
        <v>101</v>
      </c>
      <c r="I458" s="16" t="str">
        <f t="shared" si="15"/>
        <v>91 à 120 dias</v>
      </c>
      <c r="J458" s="4">
        <v>3</v>
      </c>
      <c r="K458" s="5">
        <v>5176.51</v>
      </c>
      <c r="L458" s="6">
        <v>194.51</v>
      </c>
      <c r="M458" s="5">
        <v>5371.02</v>
      </c>
      <c r="N458" s="8">
        <v>99737.48</v>
      </c>
      <c r="O458" s="7">
        <v>255967.58</v>
      </c>
      <c r="P458" s="3" t="s">
        <v>0</v>
      </c>
      <c r="Q458" s="3" t="s">
        <v>6</v>
      </c>
    </row>
    <row r="459" spans="1:17" x14ac:dyDescent="0.25">
      <c r="A459" s="3" t="s">
        <v>2127</v>
      </c>
      <c r="B459" s="3" t="s">
        <v>2128</v>
      </c>
      <c r="C459" s="3" t="s">
        <v>128</v>
      </c>
      <c r="D459" s="3" t="s">
        <v>2129</v>
      </c>
      <c r="E459" s="3" t="s">
        <v>2130</v>
      </c>
      <c r="F459" s="3" t="s">
        <v>1958</v>
      </c>
      <c r="G459" s="15">
        <v>46133</v>
      </c>
      <c r="H459" s="16">
        <f t="shared" si="14"/>
        <v>101</v>
      </c>
      <c r="I459" s="16" t="str">
        <f t="shared" si="15"/>
        <v>91 à 120 dias</v>
      </c>
      <c r="J459" s="4">
        <v>3</v>
      </c>
      <c r="K459" s="5">
        <v>4449.3900000000003</v>
      </c>
      <c r="L459" s="6">
        <v>152.29</v>
      </c>
      <c r="M459" s="5">
        <v>4601.68</v>
      </c>
      <c r="N459" s="7">
        <v>109484.05</v>
      </c>
      <c r="O459" s="7">
        <v>229144.23</v>
      </c>
      <c r="P459" s="3" t="s">
        <v>0</v>
      </c>
      <c r="Q459" s="3" t="s">
        <v>6</v>
      </c>
    </row>
    <row r="460" spans="1:17" x14ac:dyDescent="0.25">
      <c r="A460" s="3" t="s">
        <v>2131</v>
      </c>
      <c r="B460" s="3" t="s">
        <v>2132</v>
      </c>
      <c r="C460" s="3" t="s">
        <v>94</v>
      </c>
      <c r="D460" s="3" t="s">
        <v>2133</v>
      </c>
      <c r="E460" s="3" t="s">
        <v>170</v>
      </c>
      <c r="F460" s="3" t="s">
        <v>1940</v>
      </c>
      <c r="G460" s="15">
        <v>46133</v>
      </c>
      <c r="H460" s="16">
        <f t="shared" si="14"/>
        <v>80</v>
      </c>
      <c r="I460" s="16" t="str">
        <f t="shared" si="15"/>
        <v>61 à 90 dias</v>
      </c>
      <c r="J460" s="4">
        <v>3</v>
      </c>
      <c r="K460" s="5">
        <v>3139.49</v>
      </c>
      <c r="L460" s="9">
        <v>99.83</v>
      </c>
      <c r="M460" s="5">
        <v>3239.32</v>
      </c>
      <c r="N460" s="8">
        <v>40720.449999999997</v>
      </c>
      <c r="O460" s="7">
        <v>117695.01</v>
      </c>
      <c r="P460" s="3" t="s">
        <v>0</v>
      </c>
      <c r="Q460" s="3" t="s">
        <v>6</v>
      </c>
    </row>
    <row r="461" spans="1:17" x14ac:dyDescent="0.25">
      <c r="A461" s="3" t="s">
        <v>2363</v>
      </c>
      <c r="B461" s="3" t="s">
        <v>2364</v>
      </c>
      <c r="C461" s="3" t="s">
        <v>94</v>
      </c>
      <c r="D461" s="3" t="s">
        <v>2365</v>
      </c>
      <c r="E461" s="3" t="s">
        <v>408</v>
      </c>
      <c r="F461" s="3" t="s">
        <v>2366</v>
      </c>
      <c r="G461" s="15">
        <v>46133</v>
      </c>
      <c r="H461" s="16">
        <f t="shared" si="14"/>
        <v>1057</v>
      </c>
      <c r="I461" s="16" t="str">
        <f t="shared" si="15"/>
        <v>Maior 365 dias</v>
      </c>
      <c r="J461" s="11">
        <v>45</v>
      </c>
      <c r="K461" s="8">
        <v>32263.26</v>
      </c>
      <c r="L461" s="5">
        <v>6954.05</v>
      </c>
      <c r="M461" s="8">
        <v>39217.31</v>
      </c>
      <c r="N461" s="8">
        <v>15847.8</v>
      </c>
      <c r="O461" s="7">
        <v>140053.35999999999</v>
      </c>
      <c r="P461" s="3" t="s">
        <v>0</v>
      </c>
      <c r="Q461" s="3" t="s">
        <v>5</v>
      </c>
    </row>
    <row r="462" spans="1:17" x14ac:dyDescent="0.25">
      <c r="A462" s="3" t="s">
        <v>1108</v>
      </c>
      <c r="B462" s="3" t="s">
        <v>2367</v>
      </c>
      <c r="C462" s="3" t="s">
        <v>194</v>
      </c>
      <c r="D462" s="3" t="s">
        <v>2368</v>
      </c>
      <c r="E462" s="3" t="s">
        <v>1676</v>
      </c>
      <c r="F462" s="3" t="s">
        <v>2369</v>
      </c>
      <c r="G462" s="15">
        <v>46133</v>
      </c>
      <c r="H462" s="16">
        <f t="shared" si="14"/>
        <v>576</v>
      </c>
      <c r="I462" s="16" t="str">
        <f t="shared" si="15"/>
        <v>Maior 365 dias</v>
      </c>
      <c r="J462" s="11">
        <v>20</v>
      </c>
      <c r="K462" s="8">
        <v>65794.5</v>
      </c>
      <c r="L462" s="5">
        <v>8424.7800000000007</v>
      </c>
      <c r="M462" s="8">
        <v>74219.28</v>
      </c>
      <c r="N462" s="8">
        <v>78898.69</v>
      </c>
      <c r="O462" s="7">
        <v>423482.6</v>
      </c>
      <c r="P462" s="3" t="s">
        <v>0</v>
      </c>
      <c r="Q462" s="3" t="s">
        <v>5</v>
      </c>
    </row>
    <row r="463" spans="1:17" x14ac:dyDescent="0.25">
      <c r="A463" s="3" t="s">
        <v>2370</v>
      </c>
      <c r="B463" s="3" t="s">
        <v>2371</v>
      </c>
      <c r="C463" s="3" t="s">
        <v>31</v>
      </c>
      <c r="D463" s="3" t="s">
        <v>2372</v>
      </c>
      <c r="E463" s="3" t="s">
        <v>524</v>
      </c>
      <c r="F463" s="3" t="s">
        <v>2373</v>
      </c>
      <c r="G463" s="15">
        <v>46133</v>
      </c>
      <c r="H463" s="16">
        <f t="shared" si="14"/>
        <v>417</v>
      </c>
      <c r="I463" s="16" t="str">
        <f t="shared" si="15"/>
        <v>Maior 365 dias</v>
      </c>
      <c r="J463" s="4">
        <v>9</v>
      </c>
      <c r="K463" s="8">
        <v>14994.69</v>
      </c>
      <c r="L463" s="5">
        <v>2157.11</v>
      </c>
      <c r="M463" s="8">
        <v>17151.8</v>
      </c>
      <c r="N463" s="7">
        <v>196140.45</v>
      </c>
      <c r="O463" s="8">
        <v>14994.69</v>
      </c>
      <c r="P463" s="3" t="s">
        <v>0</v>
      </c>
      <c r="Q463" s="3" t="s">
        <v>5</v>
      </c>
    </row>
    <row r="464" spans="1:17" x14ac:dyDescent="0.25">
      <c r="A464" s="3" t="s">
        <v>2374</v>
      </c>
      <c r="B464" s="3" t="s">
        <v>2375</v>
      </c>
      <c r="C464" s="3" t="s">
        <v>50</v>
      </c>
      <c r="D464" s="3" t="s">
        <v>2376</v>
      </c>
      <c r="E464" s="3" t="s">
        <v>1334</v>
      </c>
      <c r="F464" s="3" t="s">
        <v>1448</v>
      </c>
      <c r="G464" s="15">
        <v>46133</v>
      </c>
      <c r="H464" s="16">
        <f t="shared" si="14"/>
        <v>435</v>
      </c>
      <c r="I464" s="16" t="str">
        <f t="shared" si="15"/>
        <v>Maior 365 dias</v>
      </c>
      <c r="J464" s="11">
        <v>19</v>
      </c>
      <c r="K464" s="8">
        <v>17746.96</v>
      </c>
      <c r="L464" s="5">
        <v>1803.84</v>
      </c>
      <c r="M464" s="5">
        <v>19735.009999999998</v>
      </c>
      <c r="N464" s="5">
        <v>5690.35</v>
      </c>
      <c r="O464" s="7">
        <v>251748.46</v>
      </c>
      <c r="P464" s="3" t="s">
        <v>0</v>
      </c>
      <c r="Q464" s="3" t="s">
        <v>5</v>
      </c>
    </row>
    <row r="465" spans="1:17" x14ac:dyDescent="0.25">
      <c r="A465" s="3" t="s">
        <v>2377</v>
      </c>
      <c r="B465" s="3" t="s">
        <v>2375</v>
      </c>
      <c r="C465" s="3" t="s">
        <v>50</v>
      </c>
      <c r="D465" s="3" t="s">
        <v>2378</v>
      </c>
      <c r="E465" s="3" t="s">
        <v>1334</v>
      </c>
      <c r="F465" s="3" t="s">
        <v>1448</v>
      </c>
      <c r="G465" s="15">
        <v>46133</v>
      </c>
      <c r="H465" s="16">
        <f t="shared" si="14"/>
        <v>435</v>
      </c>
      <c r="I465" s="16" t="str">
        <f t="shared" si="15"/>
        <v>Maior 365 dias</v>
      </c>
      <c r="J465" s="11">
        <v>19</v>
      </c>
      <c r="K465" s="8">
        <v>17746.96</v>
      </c>
      <c r="L465" s="5">
        <v>1803.84</v>
      </c>
      <c r="M465" s="5">
        <v>19735.009999999998</v>
      </c>
      <c r="N465" s="5">
        <v>5690.81</v>
      </c>
      <c r="O465" s="7">
        <v>251748.46</v>
      </c>
      <c r="P465" s="3" t="s">
        <v>0</v>
      </c>
      <c r="Q465" s="3" t="s">
        <v>5</v>
      </c>
    </row>
    <row r="466" spans="1:17" x14ac:dyDescent="0.25">
      <c r="A466" s="3" t="s">
        <v>2138</v>
      </c>
      <c r="B466" s="3" t="s">
        <v>2379</v>
      </c>
      <c r="C466" s="3" t="s">
        <v>50</v>
      </c>
      <c r="D466" s="3" t="s">
        <v>2380</v>
      </c>
      <c r="E466" s="3" t="s">
        <v>2381</v>
      </c>
      <c r="F466" s="3" t="s">
        <v>1950</v>
      </c>
      <c r="G466" s="15">
        <v>46133</v>
      </c>
      <c r="H466" s="16">
        <f t="shared" si="14"/>
        <v>390</v>
      </c>
      <c r="I466" s="16" t="str">
        <f t="shared" si="15"/>
        <v>Maior 365 dias</v>
      </c>
      <c r="J466" s="11">
        <v>40</v>
      </c>
      <c r="K466" s="8">
        <v>29247.94</v>
      </c>
      <c r="L466" s="5">
        <v>2627.45</v>
      </c>
      <c r="M466" s="5">
        <v>32442.21</v>
      </c>
      <c r="N466" s="8">
        <v>12268.08</v>
      </c>
      <c r="O466" s="7">
        <v>261172.44</v>
      </c>
      <c r="P466" s="3" t="s">
        <v>0</v>
      </c>
      <c r="Q466" s="3" t="s">
        <v>5</v>
      </c>
    </row>
    <row r="467" spans="1:17" x14ac:dyDescent="0.25">
      <c r="A467" s="3" t="s">
        <v>2382</v>
      </c>
      <c r="B467" s="3" t="s">
        <v>2383</v>
      </c>
      <c r="C467" s="3" t="s">
        <v>25</v>
      </c>
      <c r="D467" s="3" t="s">
        <v>2384</v>
      </c>
      <c r="E467" s="3" t="s">
        <v>2040</v>
      </c>
      <c r="F467" s="3" t="s">
        <v>2385</v>
      </c>
      <c r="G467" s="15">
        <v>46133</v>
      </c>
      <c r="H467" s="16">
        <f t="shared" si="14"/>
        <v>1319</v>
      </c>
      <c r="I467" s="16" t="str">
        <f t="shared" si="15"/>
        <v>Maior 365 dias</v>
      </c>
      <c r="J467" s="11">
        <v>40</v>
      </c>
      <c r="K467" s="7">
        <v>122499.4</v>
      </c>
      <c r="L467" s="8">
        <v>32725.87</v>
      </c>
      <c r="M467" s="7">
        <v>155225.26999999999</v>
      </c>
      <c r="N467" s="8">
        <v>61922.33</v>
      </c>
      <c r="O467" s="7">
        <v>122499.4</v>
      </c>
      <c r="P467" s="3" t="s">
        <v>0</v>
      </c>
      <c r="Q467" s="3" t="s">
        <v>5</v>
      </c>
    </row>
    <row r="468" spans="1:17" x14ac:dyDescent="0.25">
      <c r="A468" s="3" t="s">
        <v>2386</v>
      </c>
      <c r="B468" s="3" t="s">
        <v>2387</v>
      </c>
      <c r="C468" s="3" t="s">
        <v>50</v>
      </c>
      <c r="D468" s="3" t="s">
        <v>2388</v>
      </c>
      <c r="E468" s="3" t="s">
        <v>2389</v>
      </c>
      <c r="F468" s="3" t="s">
        <v>2310</v>
      </c>
      <c r="G468" s="15">
        <v>46133</v>
      </c>
      <c r="H468" s="16">
        <f t="shared" si="14"/>
        <v>430</v>
      </c>
      <c r="I468" s="16" t="str">
        <f t="shared" si="15"/>
        <v>Maior 365 dias</v>
      </c>
      <c r="J468" s="4">
        <v>8</v>
      </c>
      <c r="K468" s="8">
        <v>11421.8</v>
      </c>
      <c r="L468" s="5">
        <v>1247.3</v>
      </c>
      <c r="M468" s="5">
        <v>12711.54</v>
      </c>
      <c r="N468" s="8">
        <v>34187.85</v>
      </c>
      <c r="O468" s="7">
        <v>135413.79999999999</v>
      </c>
      <c r="P468" s="3" t="s">
        <v>0</v>
      </c>
      <c r="Q468" s="3" t="s">
        <v>5</v>
      </c>
    </row>
    <row r="469" spans="1:17" x14ac:dyDescent="0.25">
      <c r="A469" s="3" t="s">
        <v>2390</v>
      </c>
      <c r="B469" s="3" t="s">
        <v>2387</v>
      </c>
      <c r="C469" s="3" t="s">
        <v>50</v>
      </c>
      <c r="D469" s="3" t="s">
        <v>2391</v>
      </c>
      <c r="E469" s="3" t="s">
        <v>2392</v>
      </c>
      <c r="F469" s="3" t="s">
        <v>1448</v>
      </c>
      <c r="G469" s="15">
        <v>46133</v>
      </c>
      <c r="H469" s="16">
        <f t="shared" si="14"/>
        <v>435</v>
      </c>
      <c r="I469" s="16" t="str">
        <f t="shared" si="15"/>
        <v>Maior 365 dias</v>
      </c>
      <c r="J469" s="11">
        <v>10</v>
      </c>
      <c r="K469" s="8">
        <v>10885.57</v>
      </c>
      <c r="L469" s="5">
        <v>1184.18</v>
      </c>
      <c r="M469" s="5">
        <v>12115.11</v>
      </c>
      <c r="N469" s="8">
        <v>34036.230000000003</v>
      </c>
      <c r="O469" s="7">
        <v>145210.53</v>
      </c>
      <c r="P469" s="3" t="s">
        <v>0</v>
      </c>
      <c r="Q469" s="3" t="s">
        <v>5</v>
      </c>
    </row>
    <row r="470" spans="1:17" x14ac:dyDescent="0.25">
      <c r="A470" s="3" t="s">
        <v>2393</v>
      </c>
      <c r="B470" s="3" t="s">
        <v>2394</v>
      </c>
      <c r="C470" s="3" t="s">
        <v>128</v>
      </c>
      <c r="D470" s="3" t="s">
        <v>2395</v>
      </c>
      <c r="E470" s="3" t="s">
        <v>2396</v>
      </c>
      <c r="F470" s="3" t="s">
        <v>2397</v>
      </c>
      <c r="G470" s="15">
        <v>46133</v>
      </c>
      <c r="H470" s="16">
        <f t="shared" si="14"/>
        <v>1513</v>
      </c>
      <c r="I470" s="16" t="str">
        <f t="shared" si="15"/>
        <v>Maior 365 dias</v>
      </c>
      <c r="J470" s="11">
        <v>52</v>
      </c>
      <c r="K470" s="8">
        <v>93001.17</v>
      </c>
      <c r="L470" s="8">
        <v>23404.23</v>
      </c>
      <c r="M470" s="7">
        <v>116405.4</v>
      </c>
      <c r="N470" s="8">
        <v>66104.160000000003</v>
      </c>
      <c r="O470" s="7">
        <v>282479.62</v>
      </c>
      <c r="P470" s="3" t="s">
        <v>0</v>
      </c>
      <c r="Q470" s="3" t="s">
        <v>5</v>
      </c>
    </row>
    <row r="471" spans="1:17" x14ac:dyDescent="0.25">
      <c r="A471" s="3" t="s">
        <v>2398</v>
      </c>
      <c r="B471" s="3" t="s">
        <v>2394</v>
      </c>
      <c r="C471" s="3" t="s">
        <v>128</v>
      </c>
      <c r="D471" s="3" t="s">
        <v>2399</v>
      </c>
      <c r="E471" s="3" t="s">
        <v>2400</v>
      </c>
      <c r="F471" s="3" t="s">
        <v>2401</v>
      </c>
      <c r="G471" s="15">
        <v>46133</v>
      </c>
      <c r="H471" s="16">
        <f t="shared" si="14"/>
        <v>1787</v>
      </c>
      <c r="I471" s="16" t="str">
        <f t="shared" si="15"/>
        <v>Maior 365 dias</v>
      </c>
      <c r="J471" s="11">
        <v>61</v>
      </c>
      <c r="K471" s="7">
        <v>116493.77</v>
      </c>
      <c r="L471" s="8">
        <v>36329.24</v>
      </c>
      <c r="M471" s="7">
        <v>152823.01</v>
      </c>
      <c r="N471" s="8">
        <v>42914.65</v>
      </c>
      <c r="O471" s="7">
        <v>376066.28</v>
      </c>
      <c r="P471" s="3" t="s">
        <v>0</v>
      </c>
      <c r="Q471" s="3" t="s">
        <v>5</v>
      </c>
    </row>
    <row r="472" spans="1:17" x14ac:dyDescent="0.25">
      <c r="A472" s="3" t="s">
        <v>2402</v>
      </c>
      <c r="B472" s="3" t="s">
        <v>2403</v>
      </c>
      <c r="C472" s="3" t="s">
        <v>128</v>
      </c>
      <c r="D472" s="3" t="s">
        <v>2404</v>
      </c>
      <c r="E472" s="3" t="s">
        <v>2405</v>
      </c>
      <c r="F472" s="3" t="s">
        <v>2351</v>
      </c>
      <c r="G472" s="15">
        <v>46133</v>
      </c>
      <c r="H472" s="16">
        <f t="shared" si="14"/>
        <v>476</v>
      </c>
      <c r="I472" s="16" t="str">
        <f t="shared" si="15"/>
        <v>Maior 365 dias</v>
      </c>
      <c r="J472" s="11">
        <v>32</v>
      </c>
      <c r="K472" s="8">
        <v>49717.1</v>
      </c>
      <c r="L472" s="5">
        <v>5399.47</v>
      </c>
      <c r="M472" s="8">
        <v>55116.57</v>
      </c>
      <c r="N472" s="7">
        <v>119941.25</v>
      </c>
      <c r="O472" s="7">
        <v>206611.18</v>
      </c>
      <c r="P472" s="3" t="s">
        <v>0</v>
      </c>
      <c r="Q472" s="3" t="s">
        <v>5</v>
      </c>
    </row>
    <row r="473" spans="1:17" x14ac:dyDescent="0.25">
      <c r="A473" s="3" t="s">
        <v>2406</v>
      </c>
      <c r="B473" s="3" t="s">
        <v>2407</v>
      </c>
      <c r="C473" s="3" t="s">
        <v>128</v>
      </c>
      <c r="D473" s="3" t="s">
        <v>2408</v>
      </c>
      <c r="E473" s="3" t="s">
        <v>2409</v>
      </c>
      <c r="F473" s="3" t="s">
        <v>2373</v>
      </c>
      <c r="G473" s="15">
        <v>46133</v>
      </c>
      <c r="H473" s="16">
        <f t="shared" si="14"/>
        <v>417</v>
      </c>
      <c r="I473" s="16" t="str">
        <f t="shared" si="15"/>
        <v>Maior 365 dias</v>
      </c>
      <c r="J473" s="11">
        <v>29</v>
      </c>
      <c r="K473" s="8">
        <v>94322.1</v>
      </c>
      <c r="L473" s="8">
        <v>11296.13</v>
      </c>
      <c r="M473" s="7">
        <v>105618.23</v>
      </c>
      <c r="N473" s="7">
        <v>103238.39</v>
      </c>
      <c r="O473" s="7">
        <v>314353.74</v>
      </c>
      <c r="P473" s="3" t="s">
        <v>0</v>
      </c>
      <c r="Q473" s="3" t="s">
        <v>5</v>
      </c>
    </row>
    <row r="474" spans="1:17" x14ac:dyDescent="0.25">
      <c r="A474" s="3" t="s">
        <v>2410</v>
      </c>
      <c r="B474" s="3" t="s">
        <v>2411</v>
      </c>
      <c r="C474" s="3" t="s">
        <v>50</v>
      </c>
      <c r="D474" s="3" t="s">
        <v>2412</v>
      </c>
      <c r="E474" s="3" t="s">
        <v>1942</v>
      </c>
      <c r="F474" s="3" t="s">
        <v>841</v>
      </c>
      <c r="G474" s="15">
        <v>46133</v>
      </c>
      <c r="H474" s="16">
        <f t="shared" si="14"/>
        <v>543</v>
      </c>
      <c r="I474" s="16" t="str">
        <f t="shared" si="15"/>
        <v>Maior 365 dias</v>
      </c>
      <c r="J474" s="11">
        <v>22</v>
      </c>
      <c r="K474" s="8">
        <v>27712.47</v>
      </c>
      <c r="L474" s="5">
        <v>3303.32</v>
      </c>
      <c r="M474" s="5">
        <v>31158.240000000002</v>
      </c>
      <c r="N474" s="8">
        <v>19667.009999999998</v>
      </c>
      <c r="O474" s="7">
        <v>236088.05</v>
      </c>
      <c r="P474" s="3" t="s">
        <v>0</v>
      </c>
      <c r="Q474" s="3" t="s">
        <v>5</v>
      </c>
    </row>
    <row r="475" spans="1:17" x14ac:dyDescent="0.25">
      <c r="A475" s="3" t="s">
        <v>1526</v>
      </c>
      <c r="B475" s="3" t="s">
        <v>2051</v>
      </c>
      <c r="C475" s="3" t="s">
        <v>194</v>
      </c>
      <c r="D475" s="3" t="s">
        <v>2413</v>
      </c>
      <c r="E475" s="3" t="s">
        <v>2053</v>
      </c>
      <c r="F475" s="3" t="s">
        <v>2153</v>
      </c>
      <c r="G475" s="15">
        <v>46133</v>
      </c>
      <c r="H475" s="16">
        <f t="shared" si="14"/>
        <v>402</v>
      </c>
      <c r="I475" s="16" t="str">
        <f t="shared" si="15"/>
        <v>Maior 365 dias</v>
      </c>
      <c r="J475" s="4">
        <v>2</v>
      </c>
      <c r="K475" s="5">
        <v>6732.37</v>
      </c>
      <c r="L475" s="6">
        <v>599.29</v>
      </c>
      <c r="M475" s="5">
        <v>7331.66</v>
      </c>
      <c r="N475" s="7">
        <v>151880.66</v>
      </c>
      <c r="O475" s="7">
        <v>375499.34</v>
      </c>
      <c r="P475" s="3" t="s">
        <v>0</v>
      </c>
      <c r="Q475" s="3" t="s">
        <v>5</v>
      </c>
    </row>
    <row r="476" spans="1:17" x14ac:dyDescent="0.25">
      <c r="A476" s="3" t="s">
        <v>2414</v>
      </c>
      <c r="B476" s="3" t="s">
        <v>2341</v>
      </c>
      <c r="C476" s="3" t="s">
        <v>50</v>
      </c>
      <c r="D476" s="3" t="s">
        <v>2415</v>
      </c>
      <c r="E476" s="3" t="s">
        <v>2343</v>
      </c>
      <c r="F476" s="3" t="s">
        <v>1011</v>
      </c>
      <c r="G476" s="15">
        <v>46133</v>
      </c>
      <c r="H476" s="16">
        <f t="shared" si="14"/>
        <v>645</v>
      </c>
      <c r="I476" s="16" t="str">
        <f t="shared" si="15"/>
        <v>Maior 365 dias</v>
      </c>
      <c r="J476" s="11">
        <v>21</v>
      </c>
      <c r="K476" s="8">
        <v>41712.17</v>
      </c>
      <c r="L476" s="5">
        <v>5239.32</v>
      </c>
      <c r="M476" s="5">
        <v>47141.69</v>
      </c>
      <c r="N476" s="5">
        <v>8900.25</v>
      </c>
      <c r="O476" s="7">
        <v>234464.32</v>
      </c>
      <c r="P476" s="3" t="s">
        <v>0</v>
      </c>
      <c r="Q476" s="3" t="s">
        <v>5</v>
      </c>
    </row>
    <row r="477" spans="1:17" x14ac:dyDescent="0.25">
      <c r="A477" s="3" t="s">
        <v>2416</v>
      </c>
      <c r="B477" s="3" t="s">
        <v>2417</v>
      </c>
      <c r="C477" s="3" t="s">
        <v>31</v>
      </c>
      <c r="D477" s="3" t="s">
        <v>2418</v>
      </c>
      <c r="E477" s="3" t="s">
        <v>524</v>
      </c>
      <c r="F477" s="3" t="s">
        <v>1932</v>
      </c>
      <c r="G477" s="15">
        <v>46133</v>
      </c>
      <c r="H477" s="16">
        <f t="shared" si="14"/>
        <v>371</v>
      </c>
      <c r="I477" s="16" t="str">
        <f t="shared" si="15"/>
        <v>Maior 365 dias</v>
      </c>
      <c r="J477" s="4">
        <v>8</v>
      </c>
      <c r="K477" s="8">
        <v>72122.490000000005</v>
      </c>
      <c r="L477" s="5">
        <v>9262.73</v>
      </c>
      <c r="M477" s="8">
        <v>81385.22</v>
      </c>
      <c r="N477" s="7">
        <v>242616.55</v>
      </c>
      <c r="O477" s="8">
        <v>72122.490000000005</v>
      </c>
      <c r="P477" s="3" t="s">
        <v>0</v>
      </c>
      <c r="Q477" s="3" t="s">
        <v>5</v>
      </c>
    </row>
    <row r="478" spans="1:17" x14ac:dyDescent="0.25">
      <c r="A478" s="3" t="s">
        <v>2419</v>
      </c>
      <c r="B478" s="3" t="s">
        <v>2420</v>
      </c>
      <c r="C478" s="3" t="s">
        <v>25</v>
      </c>
      <c r="D478" s="3" t="s">
        <v>2421</v>
      </c>
      <c r="E478" s="3" t="s">
        <v>2422</v>
      </c>
      <c r="F478" s="3" t="s">
        <v>1936</v>
      </c>
      <c r="G478" s="15">
        <v>46133</v>
      </c>
      <c r="H478" s="16">
        <f t="shared" si="14"/>
        <v>817</v>
      </c>
      <c r="I478" s="16" t="str">
        <f t="shared" si="15"/>
        <v>Maior 365 dias</v>
      </c>
      <c r="J478" s="11">
        <v>37</v>
      </c>
      <c r="K478" s="7">
        <v>111195.01</v>
      </c>
      <c r="L478" s="8">
        <v>21150.01</v>
      </c>
      <c r="M478" s="7">
        <v>132345.01999999999</v>
      </c>
      <c r="N478" s="8">
        <v>82073.89</v>
      </c>
      <c r="O478" s="7">
        <v>120558.76</v>
      </c>
      <c r="P478" s="3" t="s">
        <v>0</v>
      </c>
      <c r="Q478" s="3" t="s">
        <v>5</v>
      </c>
    </row>
    <row r="479" spans="1:17" x14ac:dyDescent="0.25">
      <c r="A479" s="3" t="s">
        <v>2423</v>
      </c>
      <c r="B479" s="3" t="s">
        <v>2424</v>
      </c>
      <c r="C479" s="3" t="s">
        <v>759</v>
      </c>
      <c r="D479" s="3" t="s">
        <v>2425</v>
      </c>
      <c r="E479" s="3" t="s">
        <v>2426</v>
      </c>
      <c r="F479" s="3" t="s">
        <v>2427</v>
      </c>
      <c r="G479" s="15">
        <v>46133</v>
      </c>
      <c r="H479" s="16">
        <f t="shared" si="14"/>
        <v>1531</v>
      </c>
      <c r="I479" s="16" t="str">
        <f t="shared" si="15"/>
        <v>Maior 365 dias</v>
      </c>
      <c r="J479" s="11">
        <v>50</v>
      </c>
      <c r="K479" s="8">
        <v>59164.26</v>
      </c>
      <c r="L479" s="8">
        <v>16682.990000000002</v>
      </c>
      <c r="M479" s="8">
        <v>75847.25</v>
      </c>
      <c r="N479" s="8">
        <v>42646.98</v>
      </c>
      <c r="O479" s="7">
        <v>240843.03</v>
      </c>
      <c r="P479" s="3" t="s">
        <v>0</v>
      </c>
      <c r="Q479" s="3" t="s">
        <v>5</v>
      </c>
    </row>
    <row r="480" spans="1:17" x14ac:dyDescent="0.25">
      <c r="A480" s="3" t="s">
        <v>2428</v>
      </c>
      <c r="B480" s="3" t="s">
        <v>2429</v>
      </c>
      <c r="C480" s="3" t="s">
        <v>25</v>
      </c>
      <c r="D480" s="3" t="s">
        <v>2430</v>
      </c>
      <c r="E480" s="3" t="s">
        <v>2431</v>
      </c>
      <c r="F480" s="3" t="s">
        <v>2334</v>
      </c>
      <c r="G480" s="15">
        <v>46133</v>
      </c>
      <c r="H480" s="16">
        <f t="shared" si="14"/>
        <v>914</v>
      </c>
      <c r="I480" s="16" t="str">
        <f t="shared" si="15"/>
        <v>Maior 365 dias</v>
      </c>
      <c r="J480" s="13">
        <v>108</v>
      </c>
      <c r="K480" s="8">
        <v>56681.97</v>
      </c>
      <c r="L480" s="8">
        <v>10706.13</v>
      </c>
      <c r="M480" s="8">
        <v>67388.100000000006</v>
      </c>
      <c r="N480" s="8">
        <v>32862.620000000003</v>
      </c>
      <c r="O480" s="7">
        <v>276788.58</v>
      </c>
      <c r="P480" s="3" t="s">
        <v>0</v>
      </c>
      <c r="Q480" s="3" t="s">
        <v>5</v>
      </c>
    </row>
    <row r="481" spans="1:17" x14ac:dyDescent="0.25">
      <c r="A481" s="3" t="s">
        <v>2432</v>
      </c>
      <c r="B481" s="3" t="s">
        <v>2433</v>
      </c>
      <c r="C481" s="3" t="s">
        <v>128</v>
      </c>
      <c r="D481" s="3" t="s">
        <v>2434</v>
      </c>
      <c r="E481" s="3" t="s">
        <v>247</v>
      </c>
      <c r="F481" s="3" t="s">
        <v>424</v>
      </c>
      <c r="G481" s="15">
        <v>46133</v>
      </c>
      <c r="H481" s="16">
        <f t="shared" si="14"/>
        <v>650</v>
      </c>
      <c r="I481" s="16" t="str">
        <f t="shared" si="15"/>
        <v>Maior 365 dias</v>
      </c>
      <c r="J481" s="11">
        <v>24</v>
      </c>
      <c r="K481" s="8">
        <v>42613.33</v>
      </c>
      <c r="L481" s="5">
        <v>5227.58</v>
      </c>
      <c r="M481" s="8">
        <v>47840.91</v>
      </c>
      <c r="N481" s="8">
        <v>54539.79</v>
      </c>
      <c r="O481" s="7">
        <v>292796.90999999997</v>
      </c>
      <c r="P481" s="3" t="s">
        <v>0</v>
      </c>
      <c r="Q481" s="3" t="s">
        <v>5</v>
      </c>
    </row>
    <row r="482" spans="1:17" x14ac:dyDescent="0.25">
      <c r="A482" s="3" t="s">
        <v>563</v>
      </c>
      <c r="B482" s="3" t="s">
        <v>2435</v>
      </c>
      <c r="C482" s="3" t="s">
        <v>25</v>
      </c>
      <c r="D482" s="3" t="s">
        <v>2436</v>
      </c>
      <c r="E482" s="3" t="s">
        <v>2437</v>
      </c>
      <c r="F482" s="3" t="s">
        <v>2438</v>
      </c>
      <c r="G482" s="15">
        <v>46133</v>
      </c>
      <c r="H482" s="16">
        <f t="shared" si="14"/>
        <v>1486</v>
      </c>
      <c r="I482" s="16" t="str">
        <f t="shared" si="15"/>
        <v>Maior 365 dias</v>
      </c>
      <c r="J482" s="11">
        <v>49</v>
      </c>
      <c r="K482" s="8">
        <v>86349.41</v>
      </c>
      <c r="L482" s="8">
        <v>24071.55</v>
      </c>
      <c r="M482" s="7">
        <v>110420.96</v>
      </c>
      <c r="N482" s="8">
        <v>17996.599999999999</v>
      </c>
      <c r="O482" s="8">
        <v>97786.92</v>
      </c>
      <c r="P482" s="3" t="s">
        <v>0</v>
      </c>
      <c r="Q482" s="3" t="s">
        <v>5</v>
      </c>
    </row>
    <row r="483" spans="1:17" x14ac:dyDescent="0.25">
      <c r="A483" s="3" t="s">
        <v>2439</v>
      </c>
      <c r="B483" s="3" t="s">
        <v>2440</v>
      </c>
      <c r="C483" s="3" t="s">
        <v>25</v>
      </c>
      <c r="D483" s="3" t="s">
        <v>2441</v>
      </c>
      <c r="E483" s="3" t="s">
        <v>2442</v>
      </c>
      <c r="F483" s="3" t="s">
        <v>2443</v>
      </c>
      <c r="G483" s="15">
        <v>46133</v>
      </c>
      <c r="H483" s="16">
        <f t="shared" si="14"/>
        <v>1026</v>
      </c>
      <c r="I483" s="16" t="str">
        <f t="shared" si="15"/>
        <v>Maior 365 dias</v>
      </c>
      <c r="J483" s="11">
        <v>37</v>
      </c>
      <c r="K483" s="8">
        <v>46851.24</v>
      </c>
      <c r="L483" s="5">
        <v>9259.39</v>
      </c>
      <c r="M483" s="8">
        <v>56110.63</v>
      </c>
      <c r="N483" s="8">
        <v>26870.15</v>
      </c>
      <c r="O483" s="7">
        <v>251269.71</v>
      </c>
      <c r="P483" s="3" t="s">
        <v>0</v>
      </c>
      <c r="Q483" s="3" t="s">
        <v>5</v>
      </c>
    </row>
    <row r="484" spans="1:17" x14ac:dyDescent="0.25">
      <c r="A484" s="3" t="s">
        <v>2444</v>
      </c>
      <c r="B484" s="3" t="s">
        <v>2445</v>
      </c>
      <c r="C484" s="3" t="s">
        <v>128</v>
      </c>
      <c r="D484" s="3" t="s">
        <v>2446</v>
      </c>
      <c r="E484" s="3" t="s">
        <v>778</v>
      </c>
      <c r="F484" s="3" t="s">
        <v>735</v>
      </c>
      <c r="G484" s="15">
        <v>46133</v>
      </c>
      <c r="H484" s="16">
        <f t="shared" si="14"/>
        <v>397</v>
      </c>
      <c r="I484" s="16" t="str">
        <f t="shared" si="15"/>
        <v>Maior 365 dias</v>
      </c>
      <c r="J484" s="11">
        <v>43</v>
      </c>
      <c r="K484" s="8">
        <v>79379.98</v>
      </c>
      <c r="L484" s="5">
        <v>6753.56</v>
      </c>
      <c r="M484" s="8">
        <v>86133.54</v>
      </c>
      <c r="N484" s="8">
        <v>97731.39</v>
      </c>
      <c r="O484" s="7">
        <v>249181.48</v>
      </c>
      <c r="P484" s="3" t="s">
        <v>0</v>
      </c>
      <c r="Q484" s="3" t="s">
        <v>5</v>
      </c>
    </row>
    <row r="485" spans="1:17" x14ac:dyDescent="0.25">
      <c r="A485" s="3" t="s">
        <v>2447</v>
      </c>
      <c r="B485" s="3" t="s">
        <v>2448</v>
      </c>
      <c r="C485" s="3" t="s">
        <v>25</v>
      </c>
      <c r="D485" s="3" t="s">
        <v>2449</v>
      </c>
      <c r="E485" s="3" t="s">
        <v>2450</v>
      </c>
      <c r="F485" s="3" t="s">
        <v>2451</v>
      </c>
      <c r="G485" s="15">
        <v>46133</v>
      </c>
      <c r="H485" s="16">
        <f t="shared" si="14"/>
        <v>548</v>
      </c>
      <c r="I485" s="16" t="str">
        <f t="shared" si="15"/>
        <v>Maior 365 dias</v>
      </c>
      <c r="J485" s="11">
        <v>18</v>
      </c>
      <c r="K485" s="8">
        <v>23319.439999999999</v>
      </c>
      <c r="L485" s="5">
        <v>2737.8</v>
      </c>
      <c r="M485" s="8">
        <v>26057.24</v>
      </c>
      <c r="N485" s="7">
        <v>120613.15</v>
      </c>
      <c r="O485" s="7">
        <v>112056.23</v>
      </c>
      <c r="P485" s="3" t="s">
        <v>0</v>
      </c>
      <c r="Q485" s="3" t="s">
        <v>5</v>
      </c>
    </row>
    <row r="486" spans="1:17" x14ac:dyDescent="0.25">
      <c r="A486" s="3" t="s">
        <v>2246</v>
      </c>
      <c r="B486" s="3" t="s">
        <v>2452</v>
      </c>
      <c r="C486" s="3" t="s">
        <v>25</v>
      </c>
      <c r="D486" s="3" t="s">
        <v>2453</v>
      </c>
      <c r="E486" s="3" t="s">
        <v>901</v>
      </c>
      <c r="F486" s="3" t="s">
        <v>1103</v>
      </c>
      <c r="G486" s="15">
        <v>46133</v>
      </c>
      <c r="H486" s="16">
        <f t="shared" si="14"/>
        <v>588</v>
      </c>
      <c r="I486" s="16" t="str">
        <f t="shared" si="15"/>
        <v>Maior 365 dias</v>
      </c>
      <c r="J486" s="11">
        <v>23</v>
      </c>
      <c r="K486" s="8">
        <v>34652.559999999998</v>
      </c>
      <c r="L486" s="5">
        <v>4920.54</v>
      </c>
      <c r="M486" s="8">
        <v>39573.1</v>
      </c>
      <c r="N486" s="8">
        <v>44567.26</v>
      </c>
      <c r="O486" s="8">
        <v>46964.83</v>
      </c>
      <c r="P486" s="3" t="s">
        <v>0</v>
      </c>
      <c r="Q486" s="3" t="s">
        <v>5</v>
      </c>
    </row>
    <row r="487" spans="1:17" x14ac:dyDescent="0.25">
      <c r="A487" s="3" t="s">
        <v>2454</v>
      </c>
      <c r="B487" s="3" t="s">
        <v>2455</v>
      </c>
      <c r="C487" s="3" t="s">
        <v>128</v>
      </c>
      <c r="D487" s="3" t="s">
        <v>2456</v>
      </c>
      <c r="E487" s="3" t="s">
        <v>2457</v>
      </c>
      <c r="F487" s="3" t="s">
        <v>2458</v>
      </c>
      <c r="G487" s="15">
        <v>46133</v>
      </c>
      <c r="H487" s="16">
        <f t="shared" si="14"/>
        <v>1552</v>
      </c>
      <c r="I487" s="16" t="str">
        <f t="shared" si="15"/>
        <v>Maior 365 dias</v>
      </c>
      <c r="J487" s="11">
        <v>52</v>
      </c>
      <c r="K487" s="7">
        <v>111729.45</v>
      </c>
      <c r="L487" s="8">
        <v>30342.75</v>
      </c>
      <c r="M487" s="7">
        <v>142072.20000000001</v>
      </c>
      <c r="N487" s="8">
        <v>68474.570000000007</v>
      </c>
      <c r="O487" s="7">
        <v>295395.27</v>
      </c>
      <c r="P487" s="3" t="s">
        <v>0</v>
      </c>
      <c r="Q487" s="3" t="s">
        <v>5</v>
      </c>
    </row>
    <row r="488" spans="1:17" x14ac:dyDescent="0.25">
      <c r="A488" s="3" t="s">
        <v>2459</v>
      </c>
      <c r="B488" s="3" t="s">
        <v>1718</v>
      </c>
      <c r="C488" s="3" t="s">
        <v>50</v>
      </c>
      <c r="D488" s="3" t="s">
        <v>2460</v>
      </c>
      <c r="E488" s="3" t="s">
        <v>2381</v>
      </c>
      <c r="F488" s="3" t="s">
        <v>735</v>
      </c>
      <c r="G488" s="15">
        <v>46133</v>
      </c>
      <c r="H488" s="16">
        <f t="shared" si="14"/>
        <v>397</v>
      </c>
      <c r="I488" s="16" t="str">
        <f t="shared" si="15"/>
        <v>Maior 365 dias</v>
      </c>
      <c r="J488" s="11">
        <v>12</v>
      </c>
      <c r="K488" s="8">
        <v>28169.31</v>
      </c>
      <c r="L488" s="5">
        <v>1382.92</v>
      </c>
      <c r="M488" s="5">
        <v>29742.67</v>
      </c>
      <c r="N488" s="8">
        <v>36270.559999999998</v>
      </c>
      <c r="O488" s="7">
        <v>203201.13</v>
      </c>
      <c r="P488" s="3" t="s">
        <v>0</v>
      </c>
      <c r="Q488" s="3" t="s">
        <v>5</v>
      </c>
    </row>
    <row r="489" spans="1:17" x14ac:dyDescent="0.25">
      <c r="A489" s="3" t="s">
        <v>2461</v>
      </c>
      <c r="B489" s="3" t="s">
        <v>2462</v>
      </c>
      <c r="C489" s="3" t="s">
        <v>25</v>
      </c>
      <c r="D489" s="3" t="s">
        <v>2463</v>
      </c>
      <c r="E489" s="3" t="s">
        <v>2464</v>
      </c>
      <c r="F489" s="3" t="s">
        <v>2191</v>
      </c>
      <c r="G489" s="15">
        <v>46133</v>
      </c>
      <c r="H489" s="16">
        <f t="shared" si="14"/>
        <v>387</v>
      </c>
      <c r="I489" s="16" t="str">
        <f t="shared" si="15"/>
        <v>Maior 365 dias</v>
      </c>
      <c r="J489" s="11">
        <v>34</v>
      </c>
      <c r="K489" s="8">
        <v>13806.44</v>
      </c>
      <c r="L489" s="5">
        <v>1228.8900000000001</v>
      </c>
      <c r="M489" s="8">
        <v>15035.33</v>
      </c>
      <c r="N489" s="8">
        <v>36508.83</v>
      </c>
      <c r="O489" s="8">
        <v>43546.76</v>
      </c>
      <c r="P489" s="3" t="s">
        <v>0</v>
      </c>
      <c r="Q489" s="3" t="s">
        <v>5</v>
      </c>
    </row>
    <row r="490" spans="1:17" x14ac:dyDescent="0.25">
      <c r="A490" s="3" t="s">
        <v>2465</v>
      </c>
      <c r="B490" s="3" t="s">
        <v>2466</v>
      </c>
      <c r="C490" s="3" t="s">
        <v>194</v>
      </c>
      <c r="D490" s="3" t="s">
        <v>2467</v>
      </c>
      <c r="E490" s="3" t="s">
        <v>610</v>
      </c>
      <c r="F490" s="3" t="s">
        <v>2208</v>
      </c>
      <c r="G490" s="15">
        <v>46133</v>
      </c>
      <c r="H490" s="16">
        <f t="shared" si="14"/>
        <v>407</v>
      </c>
      <c r="I490" s="16" t="str">
        <f t="shared" si="15"/>
        <v>Maior 365 dias</v>
      </c>
      <c r="J490" s="4">
        <v>8</v>
      </c>
      <c r="K490" s="8">
        <v>35067.519999999997</v>
      </c>
      <c r="L490" s="5">
        <v>4925.1499999999996</v>
      </c>
      <c r="M490" s="8">
        <v>39992.67</v>
      </c>
      <c r="N490" s="7">
        <v>259617.21</v>
      </c>
      <c r="O490" s="8">
        <v>35067.519999999997</v>
      </c>
      <c r="P490" s="3" t="s">
        <v>0</v>
      </c>
      <c r="Q490" s="3" t="s">
        <v>5</v>
      </c>
    </row>
    <row r="491" spans="1:17" x14ac:dyDescent="0.25">
      <c r="A491" s="3" t="s">
        <v>682</v>
      </c>
      <c r="B491" s="3" t="s">
        <v>2466</v>
      </c>
      <c r="C491" s="3" t="s">
        <v>194</v>
      </c>
      <c r="D491" s="3" t="s">
        <v>2468</v>
      </c>
      <c r="E491" s="3" t="s">
        <v>610</v>
      </c>
      <c r="F491" s="3" t="s">
        <v>2469</v>
      </c>
      <c r="G491" s="15">
        <v>46133</v>
      </c>
      <c r="H491" s="16">
        <f t="shared" si="14"/>
        <v>372</v>
      </c>
      <c r="I491" s="16" t="str">
        <f t="shared" si="15"/>
        <v>Maior 365 dias</v>
      </c>
      <c r="J491" s="4">
        <v>4</v>
      </c>
      <c r="K491" s="8">
        <v>17533.759999999998</v>
      </c>
      <c r="L491" s="5">
        <v>2345.6799999999998</v>
      </c>
      <c r="M491" s="8">
        <v>19879.439999999999</v>
      </c>
      <c r="N491" s="7">
        <v>281710.76</v>
      </c>
      <c r="O491" s="8">
        <v>17533.759999999998</v>
      </c>
      <c r="P491" s="3" t="s">
        <v>0</v>
      </c>
      <c r="Q491" s="3" t="s">
        <v>5</v>
      </c>
    </row>
    <row r="492" spans="1:17" x14ac:dyDescent="0.25">
      <c r="A492" s="3" t="s">
        <v>2470</v>
      </c>
      <c r="B492" s="3" t="s">
        <v>2471</v>
      </c>
      <c r="C492" s="3" t="s">
        <v>128</v>
      </c>
      <c r="D492" s="3" t="s">
        <v>2472</v>
      </c>
      <c r="E492" s="3" t="s">
        <v>901</v>
      </c>
      <c r="F492" s="3" t="s">
        <v>2153</v>
      </c>
      <c r="G492" s="15">
        <v>46133</v>
      </c>
      <c r="H492" s="16">
        <f t="shared" si="14"/>
        <v>402</v>
      </c>
      <c r="I492" s="16" t="str">
        <f t="shared" si="15"/>
        <v>Maior 365 dias</v>
      </c>
      <c r="J492" s="11">
        <v>23</v>
      </c>
      <c r="K492" s="8">
        <v>35577.910000000003</v>
      </c>
      <c r="L492" s="5">
        <v>3210.55</v>
      </c>
      <c r="M492" s="8">
        <v>38788.46</v>
      </c>
      <c r="N492" s="8">
        <v>68753.59</v>
      </c>
      <c r="O492" s="7">
        <v>290251.33</v>
      </c>
      <c r="P492" s="3" t="s">
        <v>0</v>
      </c>
      <c r="Q492" s="3" t="s">
        <v>5</v>
      </c>
    </row>
    <row r="493" spans="1:17" x14ac:dyDescent="0.25">
      <c r="A493" s="3" t="s">
        <v>2473</v>
      </c>
      <c r="B493" s="3" t="s">
        <v>2474</v>
      </c>
      <c r="C493" s="3" t="s">
        <v>31</v>
      </c>
      <c r="D493" s="3" t="s">
        <v>2475</v>
      </c>
      <c r="E493" s="3" t="s">
        <v>2476</v>
      </c>
      <c r="F493" s="3" t="s">
        <v>2241</v>
      </c>
      <c r="G493" s="15">
        <v>46133</v>
      </c>
      <c r="H493" s="16">
        <f t="shared" si="14"/>
        <v>376</v>
      </c>
      <c r="I493" s="16" t="str">
        <f t="shared" si="15"/>
        <v>Maior 365 dias</v>
      </c>
      <c r="J493" s="4">
        <v>1</v>
      </c>
      <c r="K493" s="5">
        <v>2074.98</v>
      </c>
      <c r="L493" s="6">
        <v>301.56</v>
      </c>
      <c r="M493" s="5">
        <v>2376.54</v>
      </c>
      <c r="N493" s="7">
        <v>162164.07</v>
      </c>
      <c r="O493" s="5">
        <v>2074.98</v>
      </c>
      <c r="P493" s="3" t="s">
        <v>0</v>
      </c>
      <c r="Q493" s="3" t="s">
        <v>5</v>
      </c>
    </row>
    <row r="494" spans="1:17" x14ac:dyDescent="0.25">
      <c r="A494" s="3" t="s">
        <v>2477</v>
      </c>
      <c r="B494" s="3" t="s">
        <v>2478</v>
      </c>
      <c r="C494" s="3" t="s">
        <v>37</v>
      </c>
      <c r="D494" s="3" t="s">
        <v>2479</v>
      </c>
      <c r="E494" s="3" t="s">
        <v>1814</v>
      </c>
      <c r="F494" s="3" t="s">
        <v>1300</v>
      </c>
      <c r="G494" s="15">
        <v>46133</v>
      </c>
      <c r="H494" s="16">
        <f t="shared" si="14"/>
        <v>619</v>
      </c>
      <c r="I494" s="16" t="str">
        <f t="shared" si="15"/>
        <v>Maior 365 dias</v>
      </c>
      <c r="J494" s="11">
        <v>21</v>
      </c>
      <c r="K494" s="8">
        <v>12144.78</v>
      </c>
      <c r="L494" s="5">
        <v>1554.29</v>
      </c>
      <c r="M494" s="8">
        <v>13699.07</v>
      </c>
      <c r="N494" s="5">
        <v>5818.02</v>
      </c>
      <c r="O494" s="8">
        <v>67936.88</v>
      </c>
      <c r="P494" s="3" t="s">
        <v>0</v>
      </c>
      <c r="Q494" s="3" t="s">
        <v>5</v>
      </c>
    </row>
    <row r="495" spans="1:17" x14ac:dyDescent="0.25">
      <c r="A495" s="3" t="s">
        <v>2480</v>
      </c>
      <c r="B495" s="3" t="s">
        <v>2481</v>
      </c>
      <c r="C495" s="3" t="s">
        <v>194</v>
      </c>
      <c r="D495" s="3" t="s">
        <v>2482</v>
      </c>
      <c r="E495" s="3" t="s">
        <v>139</v>
      </c>
      <c r="F495" s="3" t="s">
        <v>2483</v>
      </c>
      <c r="G495" s="15">
        <v>46133</v>
      </c>
      <c r="H495" s="16">
        <f t="shared" si="14"/>
        <v>570</v>
      </c>
      <c r="I495" s="16" t="str">
        <f t="shared" si="15"/>
        <v>Maior 365 dias</v>
      </c>
      <c r="J495" s="11">
        <v>26</v>
      </c>
      <c r="K495" s="7">
        <v>120233.36</v>
      </c>
      <c r="L495" s="8">
        <v>17727.419999999998</v>
      </c>
      <c r="M495" s="7">
        <v>137960.78</v>
      </c>
      <c r="N495" s="8">
        <v>64977.72</v>
      </c>
      <c r="O495" s="7">
        <v>498397.9</v>
      </c>
      <c r="P495" s="3" t="s">
        <v>0</v>
      </c>
      <c r="Q495" s="3" t="s">
        <v>5</v>
      </c>
    </row>
    <row r="496" spans="1:17" x14ac:dyDescent="0.25">
      <c r="A496" s="3" t="s">
        <v>2484</v>
      </c>
      <c r="B496" s="3" t="s">
        <v>2481</v>
      </c>
      <c r="C496" s="3" t="s">
        <v>194</v>
      </c>
      <c r="D496" s="3" t="s">
        <v>2485</v>
      </c>
      <c r="E496" s="3" t="s">
        <v>196</v>
      </c>
      <c r="F496" s="3" t="s">
        <v>2483</v>
      </c>
      <c r="G496" s="15">
        <v>46133</v>
      </c>
      <c r="H496" s="16">
        <f t="shared" si="14"/>
        <v>570</v>
      </c>
      <c r="I496" s="16" t="str">
        <f t="shared" si="15"/>
        <v>Maior 365 dias</v>
      </c>
      <c r="J496" s="11">
        <v>33</v>
      </c>
      <c r="K496" s="7">
        <v>231442.36</v>
      </c>
      <c r="L496" s="8">
        <v>30702.48</v>
      </c>
      <c r="M496" s="7">
        <v>262144.84000000003</v>
      </c>
      <c r="N496" s="7">
        <v>104095.12</v>
      </c>
      <c r="O496" s="7">
        <v>899238.16</v>
      </c>
      <c r="P496" s="3" t="s">
        <v>0</v>
      </c>
      <c r="Q496" s="3" t="s">
        <v>5</v>
      </c>
    </row>
    <row r="497" spans="1:17" x14ac:dyDescent="0.25">
      <c r="A497" s="3" t="s">
        <v>2486</v>
      </c>
      <c r="B497" s="3" t="s">
        <v>2487</v>
      </c>
      <c r="C497" s="3" t="s">
        <v>94</v>
      </c>
      <c r="D497" s="3" t="s">
        <v>2488</v>
      </c>
      <c r="E497" s="3" t="s">
        <v>1074</v>
      </c>
      <c r="F497" s="3" t="s">
        <v>2489</v>
      </c>
      <c r="G497" s="15">
        <v>46133</v>
      </c>
      <c r="H497" s="16">
        <f t="shared" si="14"/>
        <v>1462</v>
      </c>
      <c r="I497" s="16" t="str">
        <f t="shared" si="15"/>
        <v>Maior 365 dias</v>
      </c>
      <c r="J497" s="11">
        <v>53</v>
      </c>
      <c r="K497" s="8">
        <v>63134.13</v>
      </c>
      <c r="L497" s="8">
        <v>16264.72</v>
      </c>
      <c r="M497" s="8">
        <v>79398.850000000006</v>
      </c>
      <c r="N497" s="8">
        <v>16473.75</v>
      </c>
      <c r="O497" s="7">
        <v>235409.98</v>
      </c>
      <c r="P497" s="3" t="s">
        <v>0</v>
      </c>
      <c r="Q497" s="3" t="s">
        <v>5</v>
      </c>
    </row>
    <row r="498" spans="1:17" x14ac:dyDescent="0.25">
      <c r="A498" s="3" t="s">
        <v>2490</v>
      </c>
      <c r="B498" s="3" t="s">
        <v>2491</v>
      </c>
      <c r="C498" s="3" t="s">
        <v>50</v>
      </c>
      <c r="D498" s="3" t="s">
        <v>2492</v>
      </c>
      <c r="E498" s="3" t="s">
        <v>2493</v>
      </c>
      <c r="F498" s="3" t="s">
        <v>2451</v>
      </c>
      <c r="G498" s="15">
        <v>46133</v>
      </c>
      <c r="H498" s="16">
        <f t="shared" si="14"/>
        <v>548</v>
      </c>
      <c r="I498" s="16" t="str">
        <f t="shared" si="15"/>
        <v>Maior 365 dias</v>
      </c>
      <c r="J498" s="11">
        <v>19</v>
      </c>
      <c r="K498" s="8">
        <v>18541.8</v>
      </c>
      <c r="L498" s="5">
        <v>2094.6999999999998</v>
      </c>
      <c r="M498" s="5">
        <v>20805.400000000001</v>
      </c>
      <c r="N498" s="5">
        <v>8986.5300000000007</v>
      </c>
      <c r="O498" s="7">
        <v>225872.51</v>
      </c>
      <c r="P498" s="3" t="s">
        <v>0</v>
      </c>
      <c r="Q498" s="3" t="s">
        <v>5</v>
      </c>
    </row>
    <row r="499" spans="1:17" x14ac:dyDescent="0.25">
      <c r="A499" s="3" t="s">
        <v>2494</v>
      </c>
      <c r="B499" s="3" t="s">
        <v>2491</v>
      </c>
      <c r="C499" s="3" t="s">
        <v>50</v>
      </c>
      <c r="D499" s="3" t="s">
        <v>2495</v>
      </c>
      <c r="E499" s="3" t="s">
        <v>2493</v>
      </c>
      <c r="F499" s="3" t="s">
        <v>1412</v>
      </c>
      <c r="G499" s="15">
        <v>46133</v>
      </c>
      <c r="H499" s="16">
        <f t="shared" si="14"/>
        <v>563</v>
      </c>
      <c r="I499" s="16" t="str">
        <f t="shared" si="15"/>
        <v>Maior 365 dias</v>
      </c>
      <c r="J499" s="11">
        <v>19</v>
      </c>
      <c r="K499" s="8">
        <v>19684.41</v>
      </c>
      <c r="L499" s="5">
        <v>2324.0700000000002</v>
      </c>
      <c r="M499" s="5">
        <v>22187.8</v>
      </c>
      <c r="N499" s="5">
        <v>9705.4699999999993</v>
      </c>
      <c r="O499" s="7">
        <v>239301.65</v>
      </c>
      <c r="P499" s="3" t="s">
        <v>0</v>
      </c>
      <c r="Q499" s="3" t="s">
        <v>5</v>
      </c>
    </row>
    <row r="500" spans="1:17" x14ac:dyDescent="0.25">
      <c r="A500" s="3" t="s">
        <v>2496</v>
      </c>
      <c r="B500" s="3" t="s">
        <v>2497</v>
      </c>
      <c r="C500" s="3" t="s">
        <v>50</v>
      </c>
      <c r="D500" s="3" t="s">
        <v>2498</v>
      </c>
      <c r="E500" s="3" t="s">
        <v>2499</v>
      </c>
      <c r="F500" s="3" t="s">
        <v>2230</v>
      </c>
      <c r="G500" s="15">
        <v>46133</v>
      </c>
      <c r="H500" s="16">
        <f t="shared" si="14"/>
        <v>762</v>
      </c>
      <c r="I500" s="16" t="str">
        <f t="shared" si="15"/>
        <v>Maior 365 dias</v>
      </c>
      <c r="J500" s="11">
        <v>25</v>
      </c>
      <c r="K500" s="8">
        <v>40149.040000000001</v>
      </c>
      <c r="L500" s="5">
        <v>5804.68</v>
      </c>
      <c r="M500" s="5">
        <v>46130.29</v>
      </c>
      <c r="N500" s="8">
        <v>13698.84</v>
      </c>
      <c r="O500" s="7">
        <v>179696.94</v>
      </c>
      <c r="P500" s="3" t="s">
        <v>0</v>
      </c>
      <c r="Q500" s="3" t="s">
        <v>5</v>
      </c>
    </row>
    <row r="501" spans="1:17" x14ac:dyDescent="0.25">
      <c r="A501" s="3" t="s">
        <v>2500</v>
      </c>
      <c r="B501" s="3" t="s">
        <v>2501</v>
      </c>
      <c r="C501" s="3" t="s">
        <v>194</v>
      </c>
      <c r="D501" s="3" t="s">
        <v>2502</v>
      </c>
      <c r="E501" s="3" t="s">
        <v>2053</v>
      </c>
      <c r="F501" s="3" t="s">
        <v>2503</v>
      </c>
      <c r="G501" s="15">
        <v>46133</v>
      </c>
      <c r="H501" s="16">
        <f t="shared" si="14"/>
        <v>623</v>
      </c>
      <c r="I501" s="16" t="str">
        <f t="shared" si="15"/>
        <v>Maior 365 dias</v>
      </c>
      <c r="J501" s="11">
        <v>16</v>
      </c>
      <c r="K501" s="7">
        <v>116983.85</v>
      </c>
      <c r="L501" s="8">
        <v>18004.79</v>
      </c>
      <c r="M501" s="7">
        <v>134988.64000000001</v>
      </c>
      <c r="N501" s="7">
        <v>220100.41</v>
      </c>
      <c r="O501" s="7">
        <v>116983.85</v>
      </c>
      <c r="P501" s="3" t="s">
        <v>0</v>
      </c>
      <c r="Q501" s="3" t="s">
        <v>5</v>
      </c>
    </row>
    <row r="502" spans="1:17" x14ac:dyDescent="0.25">
      <c r="A502" s="3" t="s">
        <v>2504</v>
      </c>
      <c r="B502" s="3" t="s">
        <v>2505</v>
      </c>
      <c r="C502" s="3" t="s">
        <v>1068</v>
      </c>
      <c r="D502" s="3" t="s">
        <v>2506</v>
      </c>
      <c r="E502" s="3" t="s">
        <v>2507</v>
      </c>
      <c r="F502" s="3" t="s">
        <v>1132</v>
      </c>
      <c r="G502" s="15">
        <v>46133</v>
      </c>
      <c r="H502" s="16">
        <f t="shared" si="14"/>
        <v>480</v>
      </c>
      <c r="I502" s="16" t="str">
        <f t="shared" si="15"/>
        <v>Maior 365 dias</v>
      </c>
      <c r="J502" s="11">
        <v>16</v>
      </c>
      <c r="K502" s="8">
        <v>76231.960000000006</v>
      </c>
      <c r="L502" s="5">
        <v>8017.76</v>
      </c>
      <c r="M502" s="8">
        <v>84249.72</v>
      </c>
      <c r="N502" s="7">
        <v>204485.09</v>
      </c>
      <c r="O502" s="7">
        <v>323292.46000000002</v>
      </c>
      <c r="P502" s="3" t="s">
        <v>0</v>
      </c>
      <c r="Q502" s="3" t="s">
        <v>5</v>
      </c>
    </row>
    <row r="503" spans="1:17" x14ac:dyDescent="0.25">
      <c r="A503" s="3" t="s">
        <v>2508</v>
      </c>
      <c r="B503" s="3" t="s">
        <v>2509</v>
      </c>
      <c r="C503" s="3" t="s">
        <v>31</v>
      </c>
      <c r="D503" s="3" t="s">
        <v>2510</v>
      </c>
      <c r="E503" s="3" t="s">
        <v>2511</v>
      </c>
      <c r="F503" s="3" t="s">
        <v>2137</v>
      </c>
      <c r="G503" s="15">
        <v>46133</v>
      </c>
      <c r="H503" s="16">
        <f t="shared" si="14"/>
        <v>392</v>
      </c>
      <c r="I503" s="16" t="str">
        <f t="shared" si="15"/>
        <v>Maior 365 dias</v>
      </c>
      <c r="J503" s="11">
        <v>19</v>
      </c>
      <c r="K503" s="8">
        <v>45959.65</v>
      </c>
      <c r="L503" s="5">
        <v>4528.37</v>
      </c>
      <c r="M503" s="8">
        <v>50488.02</v>
      </c>
      <c r="N503" s="7">
        <v>103723.06</v>
      </c>
      <c r="O503" s="7">
        <v>275043.05</v>
      </c>
      <c r="P503" s="3" t="s">
        <v>0</v>
      </c>
      <c r="Q503" s="3" t="s">
        <v>5</v>
      </c>
    </row>
    <row r="504" spans="1:17" x14ac:dyDescent="0.25">
      <c r="A504" s="3" t="s">
        <v>2512</v>
      </c>
      <c r="B504" s="3" t="s">
        <v>2513</v>
      </c>
      <c r="C504" s="3" t="s">
        <v>25</v>
      </c>
      <c r="D504" s="3" t="s">
        <v>2514</v>
      </c>
      <c r="E504" s="3" t="s">
        <v>2515</v>
      </c>
      <c r="F504" s="3" t="s">
        <v>2516</v>
      </c>
      <c r="G504" s="15">
        <v>46133</v>
      </c>
      <c r="H504" s="16">
        <f t="shared" si="14"/>
        <v>965</v>
      </c>
      <c r="I504" s="16" t="str">
        <f t="shared" si="15"/>
        <v>Maior 365 dias</v>
      </c>
      <c r="J504" s="11">
        <v>32</v>
      </c>
      <c r="K504" s="8">
        <v>49808.38</v>
      </c>
      <c r="L504" s="5">
        <v>9450.9500000000007</v>
      </c>
      <c r="M504" s="8">
        <v>59259.33</v>
      </c>
      <c r="N504" s="8">
        <v>35975.050000000003</v>
      </c>
      <c r="O504" s="8">
        <v>63179.32</v>
      </c>
      <c r="P504" s="3" t="s">
        <v>0</v>
      </c>
      <c r="Q504" s="3" t="s">
        <v>5</v>
      </c>
    </row>
    <row r="505" spans="1:17" x14ac:dyDescent="0.25">
      <c r="A505" s="3" t="s">
        <v>2517</v>
      </c>
      <c r="B505" s="3" t="s">
        <v>2518</v>
      </c>
      <c r="C505" s="3" t="s">
        <v>94</v>
      </c>
      <c r="D505" s="3" t="s">
        <v>2519</v>
      </c>
      <c r="E505" s="3" t="s">
        <v>901</v>
      </c>
      <c r="F505" s="3" t="s">
        <v>2520</v>
      </c>
      <c r="G505" s="15">
        <v>46133</v>
      </c>
      <c r="H505" s="16">
        <f t="shared" si="14"/>
        <v>425</v>
      </c>
      <c r="I505" s="16" t="str">
        <f t="shared" si="15"/>
        <v>Maior 365 dias</v>
      </c>
      <c r="J505" s="11">
        <v>17</v>
      </c>
      <c r="K505" s="8">
        <v>15508.06</v>
      </c>
      <c r="L505" s="5">
        <v>1439.96</v>
      </c>
      <c r="M505" s="8">
        <v>16948.02</v>
      </c>
      <c r="N505" s="8">
        <v>36275.54</v>
      </c>
      <c r="O505" s="7">
        <v>139296.06</v>
      </c>
      <c r="P505" s="3" t="s">
        <v>0</v>
      </c>
      <c r="Q505" s="3" t="s">
        <v>5</v>
      </c>
    </row>
    <row r="506" spans="1:17" x14ac:dyDescent="0.25">
      <c r="A506" s="3" t="s">
        <v>2521</v>
      </c>
      <c r="B506" s="3" t="s">
        <v>2522</v>
      </c>
      <c r="C506" s="3" t="s">
        <v>50</v>
      </c>
      <c r="D506" s="3" t="s">
        <v>2523</v>
      </c>
      <c r="E506" s="3" t="s">
        <v>251</v>
      </c>
      <c r="F506" s="3" t="s">
        <v>2524</v>
      </c>
      <c r="G506" s="15">
        <v>46133</v>
      </c>
      <c r="H506" s="16">
        <f t="shared" si="14"/>
        <v>381</v>
      </c>
      <c r="I506" s="16" t="str">
        <f t="shared" si="15"/>
        <v>Maior 365 dias</v>
      </c>
      <c r="J506" s="4">
        <v>5</v>
      </c>
      <c r="K506" s="5">
        <v>4201.21</v>
      </c>
      <c r="L506" s="6">
        <v>452.99</v>
      </c>
      <c r="M506" s="5">
        <v>4677.4399999999996</v>
      </c>
      <c r="N506" s="8">
        <v>27450.58</v>
      </c>
      <c r="O506" s="7">
        <v>224380.62</v>
      </c>
      <c r="P506" s="3" t="s">
        <v>0</v>
      </c>
      <c r="Q506" s="3" t="s">
        <v>5</v>
      </c>
    </row>
    <row r="507" spans="1:17" x14ac:dyDescent="0.25">
      <c r="A507" s="3" t="s">
        <v>2525</v>
      </c>
      <c r="B507" s="3" t="s">
        <v>2526</v>
      </c>
      <c r="C507" s="3" t="s">
        <v>31</v>
      </c>
      <c r="D507" s="3" t="s">
        <v>2527</v>
      </c>
      <c r="E507" s="3" t="s">
        <v>2528</v>
      </c>
      <c r="F507" s="3" t="s">
        <v>2335</v>
      </c>
      <c r="G507" s="15">
        <v>46133</v>
      </c>
      <c r="H507" s="16">
        <f t="shared" si="14"/>
        <v>696</v>
      </c>
      <c r="I507" s="16" t="str">
        <f t="shared" si="15"/>
        <v>Maior 365 dias</v>
      </c>
      <c r="J507" s="11">
        <v>18</v>
      </c>
      <c r="K507" s="8">
        <v>94993.3</v>
      </c>
      <c r="L507" s="8">
        <v>14997.91</v>
      </c>
      <c r="M507" s="7">
        <v>109991.21</v>
      </c>
      <c r="N507" s="8">
        <v>60630.080000000002</v>
      </c>
      <c r="O507" s="8">
        <v>94993.3</v>
      </c>
      <c r="P507" s="3" t="s">
        <v>0</v>
      </c>
      <c r="Q507" s="3" t="s">
        <v>5</v>
      </c>
    </row>
    <row r="508" spans="1:17" x14ac:dyDescent="0.25">
      <c r="A508" s="3" t="s">
        <v>1945</v>
      </c>
      <c r="B508" s="3" t="s">
        <v>2529</v>
      </c>
      <c r="C508" s="3" t="s">
        <v>194</v>
      </c>
      <c r="D508" s="3" t="s">
        <v>2530</v>
      </c>
      <c r="E508" s="3" t="s">
        <v>2385</v>
      </c>
      <c r="F508" s="3" t="s">
        <v>2373</v>
      </c>
      <c r="G508" s="15">
        <v>46133</v>
      </c>
      <c r="H508" s="16">
        <f t="shared" si="14"/>
        <v>417</v>
      </c>
      <c r="I508" s="16" t="str">
        <f t="shared" si="15"/>
        <v>Maior 365 dias</v>
      </c>
      <c r="J508" s="11">
        <v>29</v>
      </c>
      <c r="K508" s="7">
        <v>221462.2</v>
      </c>
      <c r="L508" s="8">
        <v>23350.77</v>
      </c>
      <c r="M508" s="7">
        <v>244812.97</v>
      </c>
      <c r="N508" s="8">
        <v>83159.67</v>
      </c>
      <c r="O508" s="7">
        <v>221462.2</v>
      </c>
      <c r="P508" s="3" t="s">
        <v>0</v>
      </c>
      <c r="Q508" s="3" t="s">
        <v>5</v>
      </c>
    </row>
    <row r="509" spans="1:17" x14ac:dyDescent="0.25">
      <c r="A509" s="3" t="s">
        <v>2531</v>
      </c>
      <c r="B509" s="3" t="s">
        <v>2532</v>
      </c>
      <c r="C509" s="3" t="s">
        <v>50</v>
      </c>
      <c r="D509" s="3" t="s">
        <v>2533</v>
      </c>
      <c r="E509" s="3" t="s">
        <v>570</v>
      </c>
      <c r="F509" s="3" t="s">
        <v>2534</v>
      </c>
      <c r="G509" s="15">
        <v>46133</v>
      </c>
      <c r="H509" s="16">
        <f t="shared" si="14"/>
        <v>604</v>
      </c>
      <c r="I509" s="16" t="str">
        <f t="shared" si="15"/>
        <v>Maior 365 dias</v>
      </c>
      <c r="J509" s="11">
        <v>19</v>
      </c>
      <c r="K509" s="8">
        <v>19331.169999999998</v>
      </c>
      <c r="L509" s="5">
        <v>2361.9299999999998</v>
      </c>
      <c r="M509" s="5">
        <v>21842.73</v>
      </c>
      <c r="N509" s="8">
        <v>11228.32</v>
      </c>
      <c r="O509" s="7">
        <v>232191.4</v>
      </c>
      <c r="P509" s="3" t="s">
        <v>0</v>
      </c>
      <c r="Q509" s="3" t="s">
        <v>5</v>
      </c>
    </row>
    <row r="510" spans="1:17" x14ac:dyDescent="0.25">
      <c r="A510" s="3" t="s">
        <v>2535</v>
      </c>
      <c r="B510" s="3" t="s">
        <v>2536</v>
      </c>
      <c r="C510" s="3" t="s">
        <v>128</v>
      </c>
      <c r="D510" s="3" t="s">
        <v>2537</v>
      </c>
      <c r="E510" s="3" t="s">
        <v>1548</v>
      </c>
      <c r="F510" s="3" t="s">
        <v>2538</v>
      </c>
      <c r="G510" s="15">
        <v>46133</v>
      </c>
      <c r="H510" s="16">
        <f t="shared" si="14"/>
        <v>375</v>
      </c>
      <c r="I510" s="16" t="str">
        <f t="shared" si="15"/>
        <v>Maior 365 dias</v>
      </c>
      <c r="J510" s="11">
        <v>14</v>
      </c>
      <c r="K510" s="8">
        <v>23539.99</v>
      </c>
      <c r="L510" s="5">
        <v>1960.39</v>
      </c>
      <c r="M510" s="8">
        <v>25500.38</v>
      </c>
      <c r="N510" s="7">
        <v>135331.62</v>
      </c>
      <c r="O510" s="7">
        <v>170870.29</v>
      </c>
      <c r="P510" s="3" t="s">
        <v>0</v>
      </c>
      <c r="Q510" s="3" t="s">
        <v>5</v>
      </c>
    </row>
    <row r="511" spans="1:17" x14ac:dyDescent="0.25">
      <c r="A511" s="3" t="s">
        <v>2539</v>
      </c>
      <c r="B511" s="3" t="s">
        <v>2540</v>
      </c>
      <c r="C511" s="3" t="s">
        <v>94</v>
      </c>
      <c r="D511" s="3" t="s">
        <v>2541</v>
      </c>
      <c r="E511" s="3" t="s">
        <v>797</v>
      </c>
      <c r="F511" s="3" t="s">
        <v>2241</v>
      </c>
      <c r="G511" s="15">
        <v>46133</v>
      </c>
      <c r="H511" s="16">
        <f t="shared" si="14"/>
        <v>376</v>
      </c>
      <c r="I511" s="16" t="str">
        <f t="shared" si="15"/>
        <v>Maior 365 dias</v>
      </c>
      <c r="J511" s="11">
        <v>35</v>
      </c>
      <c r="K511" s="8">
        <v>17559.400000000001</v>
      </c>
      <c r="L511" s="5">
        <v>1508.56</v>
      </c>
      <c r="M511" s="8">
        <v>19067.96</v>
      </c>
      <c r="N511" s="8">
        <v>46727.12</v>
      </c>
      <c r="O511" s="7">
        <v>139038</v>
      </c>
      <c r="P511" s="3" t="s">
        <v>0</v>
      </c>
      <c r="Q511" s="3" t="s">
        <v>5</v>
      </c>
    </row>
    <row r="512" spans="1:17" x14ac:dyDescent="0.25">
      <c r="A512" s="3" t="s">
        <v>2542</v>
      </c>
      <c r="B512" s="3" t="s">
        <v>2543</v>
      </c>
      <c r="C512" s="3" t="s">
        <v>25</v>
      </c>
      <c r="D512" s="3" t="s">
        <v>2544</v>
      </c>
      <c r="E512" s="3" t="s">
        <v>1649</v>
      </c>
      <c r="F512" s="3" t="s">
        <v>2183</v>
      </c>
      <c r="G512" s="15">
        <v>46133</v>
      </c>
      <c r="H512" s="16">
        <f t="shared" si="14"/>
        <v>1299</v>
      </c>
      <c r="I512" s="16" t="str">
        <f t="shared" si="15"/>
        <v>Maior 365 dias</v>
      </c>
      <c r="J512" s="11">
        <v>43</v>
      </c>
      <c r="K512" s="8">
        <v>59888.31</v>
      </c>
      <c r="L512" s="8">
        <v>14748.1</v>
      </c>
      <c r="M512" s="8">
        <v>74636.41</v>
      </c>
      <c r="N512" s="8">
        <v>16465.64</v>
      </c>
      <c r="O512" s="7">
        <v>109556.74</v>
      </c>
      <c r="P512" s="3" t="s">
        <v>0</v>
      </c>
      <c r="Q512" s="3" t="s">
        <v>6</v>
      </c>
    </row>
    <row r="513" spans="1:17" x14ac:dyDescent="0.25">
      <c r="A513" s="3" t="s">
        <v>2545</v>
      </c>
      <c r="B513" s="3" t="s">
        <v>2546</v>
      </c>
      <c r="C513" s="3" t="s">
        <v>128</v>
      </c>
      <c r="D513" s="3" t="s">
        <v>2547</v>
      </c>
      <c r="E513" s="3" t="s">
        <v>901</v>
      </c>
      <c r="F513" s="3" t="s">
        <v>2548</v>
      </c>
      <c r="G513" s="15">
        <v>46133</v>
      </c>
      <c r="H513" s="16">
        <f t="shared" si="14"/>
        <v>1578</v>
      </c>
      <c r="I513" s="16" t="str">
        <f t="shared" si="15"/>
        <v>Maior 365 dias</v>
      </c>
      <c r="J513" s="11">
        <v>57</v>
      </c>
      <c r="K513" s="8">
        <v>86337.31</v>
      </c>
      <c r="L513" s="8">
        <v>22296.33</v>
      </c>
      <c r="M513" s="7">
        <v>108633.64</v>
      </c>
      <c r="N513" s="8">
        <v>13666.85</v>
      </c>
      <c r="O513" s="7">
        <v>347843.3</v>
      </c>
      <c r="P513" s="3" t="s">
        <v>0</v>
      </c>
      <c r="Q513" s="3" t="s">
        <v>6</v>
      </c>
    </row>
    <row r="514" spans="1:17" x14ac:dyDescent="0.25">
      <c r="A514" s="3" t="s">
        <v>2370</v>
      </c>
      <c r="B514" s="3" t="s">
        <v>2549</v>
      </c>
      <c r="C514" s="3" t="s">
        <v>349</v>
      </c>
      <c r="D514" s="3" t="s">
        <v>2550</v>
      </c>
      <c r="E514" s="3" t="s">
        <v>2551</v>
      </c>
      <c r="F514" s="3" t="s">
        <v>2451</v>
      </c>
      <c r="G514" s="15">
        <v>46133</v>
      </c>
      <c r="H514" s="16">
        <f t="shared" ref="H514:H577" si="16">G514-F514</f>
        <v>548</v>
      </c>
      <c r="I514" s="16" t="str">
        <f t="shared" ref="I514:I577" si="17">+IF(H514&lt;35,"Adimplente",IF(H514&lt;=60,"35 à 60 dias",IF(H514&lt;=90,"61 à 90 dias",IF(H514&lt;=120,"91 à 120 dias",IF(H514&lt;=180,"121 à 180 dias",IF(H514&lt;=240,"181 à 240 dias",IF(H514&lt;=365,"241 à 365 dias","Maior 365 dias")))))))</f>
        <v>Maior 365 dias</v>
      </c>
      <c r="J514" s="11">
        <v>26</v>
      </c>
      <c r="K514" s="8">
        <v>44886.33</v>
      </c>
      <c r="L514" s="5">
        <v>6871.86</v>
      </c>
      <c r="M514" s="8">
        <v>51758.19</v>
      </c>
      <c r="N514" s="8">
        <v>23685.09</v>
      </c>
      <c r="O514" s="7">
        <v>234486.93</v>
      </c>
      <c r="P514" s="3" t="s">
        <v>0</v>
      </c>
      <c r="Q514" s="3" t="s">
        <v>6</v>
      </c>
    </row>
    <row r="515" spans="1:17" x14ac:dyDescent="0.25">
      <c r="A515" s="3" t="s">
        <v>2552</v>
      </c>
      <c r="B515" s="3" t="s">
        <v>2553</v>
      </c>
      <c r="C515" s="3" t="s">
        <v>128</v>
      </c>
      <c r="D515" s="3" t="s">
        <v>2554</v>
      </c>
      <c r="E515" s="3" t="s">
        <v>2555</v>
      </c>
      <c r="F515" s="3" t="s">
        <v>2556</v>
      </c>
      <c r="G515" s="15">
        <v>46133</v>
      </c>
      <c r="H515" s="16">
        <f t="shared" si="16"/>
        <v>1547</v>
      </c>
      <c r="I515" s="16" t="str">
        <f t="shared" si="17"/>
        <v>Maior 365 dias</v>
      </c>
      <c r="J515" s="11">
        <v>51</v>
      </c>
      <c r="K515" s="8">
        <v>91274.64</v>
      </c>
      <c r="L515" s="8">
        <v>25048.52</v>
      </c>
      <c r="M515" s="7">
        <v>116323.16</v>
      </c>
      <c r="N515" s="8">
        <v>93401.279999999999</v>
      </c>
      <c r="O515" s="7">
        <v>325321.44</v>
      </c>
      <c r="P515" s="3" t="s">
        <v>0</v>
      </c>
      <c r="Q515" s="3" t="s">
        <v>6</v>
      </c>
    </row>
    <row r="516" spans="1:17" x14ac:dyDescent="0.25">
      <c r="A516" s="3" t="s">
        <v>2557</v>
      </c>
      <c r="B516" s="3" t="s">
        <v>2553</v>
      </c>
      <c r="C516" s="3" t="s">
        <v>128</v>
      </c>
      <c r="D516" s="3" t="s">
        <v>2558</v>
      </c>
      <c r="E516" s="3" t="s">
        <v>2555</v>
      </c>
      <c r="F516" s="3" t="s">
        <v>2556</v>
      </c>
      <c r="G516" s="15">
        <v>46133</v>
      </c>
      <c r="H516" s="16">
        <f t="shared" si="16"/>
        <v>1547</v>
      </c>
      <c r="I516" s="16" t="str">
        <f t="shared" si="17"/>
        <v>Maior 365 dias</v>
      </c>
      <c r="J516" s="11">
        <v>51</v>
      </c>
      <c r="K516" s="8">
        <v>96490.29</v>
      </c>
      <c r="L516" s="8">
        <v>26479.94</v>
      </c>
      <c r="M516" s="7">
        <v>122970.23</v>
      </c>
      <c r="N516" s="8">
        <v>85480.06</v>
      </c>
      <c r="O516" s="7">
        <v>343911.36</v>
      </c>
      <c r="P516" s="3" t="s">
        <v>0</v>
      </c>
      <c r="Q516" s="3" t="s">
        <v>6</v>
      </c>
    </row>
    <row r="517" spans="1:17" x14ac:dyDescent="0.25">
      <c r="A517" s="3" t="s">
        <v>2559</v>
      </c>
      <c r="B517" s="3" t="s">
        <v>2560</v>
      </c>
      <c r="C517" s="3" t="s">
        <v>120</v>
      </c>
      <c r="D517" s="3" t="s">
        <v>2561</v>
      </c>
      <c r="E517" s="3" t="s">
        <v>420</v>
      </c>
      <c r="F517" s="3" t="s">
        <v>2562</v>
      </c>
      <c r="G517" s="15">
        <v>46133</v>
      </c>
      <c r="H517" s="16">
        <f t="shared" si="16"/>
        <v>1467</v>
      </c>
      <c r="I517" s="16" t="str">
        <f t="shared" si="17"/>
        <v>Maior 365 dias</v>
      </c>
      <c r="J517" s="11">
        <v>53</v>
      </c>
      <c r="K517" s="7">
        <v>111099.07</v>
      </c>
      <c r="L517" s="8">
        <v>28347.64</v>
      </c>
      <c r="M517" s="7">
        <v>139446.71</v>
      </c>
      <c r="N517" s="8">
        <v>26291.33</v>
      </c>
      <c r="O517" s="7">
        <v>437850.29</v>
      </c>
      <c r="P517" s="3" t="s">
        <v>0</v>
      </c>
      <c r="Q517" s="3" t="s">
        <v>6</v>
      </c>
    </row>
    <row r="518" spans="1:17" x14ac:dyDescent="0.25">
      <c r="A518" s="3" t="s">
        <v>224</v>
      </c>
      <c r="B518" s="3" t="s">
        <v>2563</v>
      </c>
      <c r="C518" s="3" t="s">
        <v>120</v>
      </c>
      <c r="D518" s="3" t="s">
        <v>2564</v>
      </c>
      <c r="E518" s="3" t="s">
        <v>821</v>
      </c>
      <c r="F518" s="3" t="s">
        <v>2565</v>
      </c>
      <c r="G518" s="15">
        <v>46133</v>
      </c>
      <c r="H518" s="16">
        <f t="shared" si="16"/>
        <v>1324</v>
      </c>
      <c r="I518" s="16" t="str">
        <f t="shared" si="17"/>
        <v>Maior 365 dias</v>
      </c>
      <c r="J518" s="11">
        <v>47</v>
      </c>
      <c r="K518" s="8">
        <v>70205.100000000006</v>
      </c>
      <c r="L518" s="8">
        <v>16010.07</v>
      </c>
      <c r="M518" s="8">
        <v>86215.17</v>
      </c>
      <c r="N518" s="8">
        <v>27270.6</v>
      </c>
      <c r="O518" s="7">
        <v>299671.40000000002</v>
      </c>
      <c r="P518" s="3" t="s">
        <v>0</v>
      </c>
      <c r="Q518" s="3" t="s">
        <v>6</v>
      </c>
    </row>
    <row r="519" spans="1:17" x14ac:dyDescent="0.25">
      <c r="A519" s="3" t="s">
        <v>2566</v>
      </c>
      <c r="B519" s="3" t="s">
        <v>2567</v>
      </c>
      <c r="C519" s="3" t="s">
        <v>128</v>
      </c>
      <c r="D519" s="3" t="s">
        <v>2568</v>
      </c>
      <c r="E519" s="3" t="s">
        <v>1620</v>
      </c>
      <c r="F519" s="3" t="s">
        <v>2569</v>
      </c>
      <c r="G519" s="15">
        <v>46133</v>
      </c>
      <c r="H519" s="16">
        <f t="shared" si="16"/>
        <v>1001</v>
      </c>
      <c r="I519" s="16" t="str">
        <f t="shared" si="17"/>
        <v>Maior 365 dias</v>
      </c>
      <c r="J519" s="11">
        <v>35</v>
      </c>
      <c r="K519" s="8">
        <v>69526.12</v>
      </c>
      <c r="L519" s="8">
        <v>12297.23</v>
      </c>
      <c r="M519" s="8">
        <v>81823.350000000006</v>
      </c>
      <c r="N519" s="8">
        <v>50674.29</v>
      </c>
      <c r="O519" s="7">
        <v>375207.15</v>
      </c>
      <c r="P519" s="3" t="s">
        <v>0</v>
      </c>
      <c r="Q519" s="3" t="s">
        <v>6</v>
      </c>
    </row>
    <row r="520" spans="1:17" x14ac:dyDescent="0.25">
      <c r="A520" s="3" t="s">
        <v>2570</v>
      </c>
      <c r="B520" s="3" t="s">
        <v>2571</v>
      </c>
      <c r="C520" s="3" t="s">
        <v>25</v>
      </c>
      <c r="D520" s="3" t="s">
        <v>2572</v>
      </c>
      <c r="E520" s="3" t="s">
        <v>2573</v>
      </c>
      <c r="F520" s="3" t="s">
        <v>2574</v>
      </c>
      <c r="G520" s="15">
        <v>46133</v>
      </c>
      <c r="H520" s="16">
        <f t="shared" si="16"/>
        <v>1218</v>
      </c>
      <c r="I520" s="16" t="str">
        <f t="shared" si="17"/>
        <v>Maior 365 dias</v>
      </c>
      <c r="J520" s="11">
        <v>44</v>
      </c>
      <c r="K520" s="8">
        <v>67418.559999999998</v>
      </c>
      <c r="L520" s="8">
        <v>15119.71</v>
      </c>
      <c r="M520" s="8">
        <v>82538.27</v>
      </c>
      <c r="N520" s="8">
        <v>38683.199999999997</v>
      </c>
      <c r="O520" s="7">
        <v>311093.74</v>
      </c>
      <c r="P520" s="3" t="s">
        <v>0</v>
      </c>
      <c r="Q520" s="3" t="s">
        <v>6</v>
      </c>
    </row>
    <row r="521" spans="1:17" x14ac:dyDescent="0.25">
      <c r="A521" s="3" t="s">
        <v>2575</v>
      </c>
      <c r="B521" s="3" t="s">
        <v>2576</v>
      </c>
      <c r="C521" s="3" t="s">
        <v>349</v>
      </c>
      <c r="D521" s="3" t="s">
        <v>2577</v>
      </c>
      <c r="E521" s="3" t="s">
        <v>2578</v>
      </c>
      <c r="F521" s="3" t="s">
        <v>1423</v>
      </c>
      <c r="G521" s="15">
        <v>46133</v>
      </c>
      <c r="H521" s="16">
        <f t="shared" si="16"/>
        <v>477</v>
      </c>
      <c r="I521" s="16" t="str">
        <f t="shared" si="17"/>
        <v>Maior 365 dias</v>
      </c>
      <c r="J521" s="11">
        <v>32</v>
      </c>
      <c r="K521" s="8">
        <v>33838.86</v>
      </c>
      <c r="L521" s="5">
        <v>3494.11</v>
      </c>
      <c r="M521" s="8">
        <v>37332.97</v>
      </c>
      <c r="N521" s="8">
        <v>12268.13</v>
      </c>
      <c r="O521" s="7">
        <v>518133.58</v>
      </c>
      <c r="P521" s="3" t="s">
        <v>0</v>
      </c>
      <c r="Q521" s="3" t="s">
        <v>6</v>
      </c>
    </row>
    <row r="522" spans="1:17" x14ac:dyDescent="0.25">
      <c r="A522" s="3" t="s">
        <v>2579</v>
      </c>
      <c r="B522" s="3" t="s">
        <v>2580</v>
      </c>
      <c r="C522" s="3" t="s">
        <v>128</v>
      </c>
      <c r="D522" s="3" t="s">
        <v>2581</v>
      </c>
      <c r="E522" s="3" t="s">
        <v>1935</v>
      </c>
      <c r="F522" s="3" t="s">
        <v>2397</v>
      </c>
      <c r="G522" s="15">
        <v>46133</v>
      </c>
      <c r="H522" s="16">
        <f t="shared" si="16"/>
        <v>1513</v>
      </c>
      <c r="I522" s="16" t="str">
        <f t="shared" si="17"/>
        <v>Maior 365 dias</v>
      </c>
      <c r="J522" s="11">
        <v>54</v>
      </c>
      <c r="K522" s="7">
        <v>102547.63</v>
      </c>
      <c r="L522" s="8">
        <v>26199.78</v>
      </c>
      <c r="M522" s="7">
        <v>128747.41</v>
      </c>
      <c r="N522" s="8">
        <v>26311.25</v>
      </c>
      <c r="O522" s="7">
        <v>399779.19</v>
      </c>
      <c r="P522" s="3" t="s">
        <v>0</v>
      </c>
      <c r="Q522" s="3" t="s">
        <v>6</v>
      </c>
    </row>
    <row r="523" spans="1:17" x14ac:dyDescent="0.25">
      <c r="A523" s="3" t="s">
        <v>531</v>
      </c>
      <c r="B523" s="3" t="s">
        <v>2582</v>
      </c>
      <c r="C523" s="3" t="s">
        <v>1068</v>
      </c>
      <c r="D523" s="3" t="s">
        <v>2583</v>
      </c>
      <c r="E523" s="3" t="s">
        <v>2584</v>
      </c>
      <c r="F523" s="3" t="s">
        <v>2256</v>
      </c>
      <c r="G523" s="15">
        <v>46133</v>
      </c>
      <c r="H523" s="16">
        <f t="shared" si="16"/>
        <v>492</v>
      </c>
      <c r="I523" s="16" t="str">
        <f t="shared" si="17"/>
        <v>Maior 365 dias</v>
      </c>
      <c r="J523" s="11">
        <v>15</v>
      </c>
      <c r="K523" s="8">
        <v>12180.86</v>
      </c>
      <c r="L523" s="5">
        <v>1832.65</v>
      </c>
      <c r="M523" s="8">
        <v>14013.51</v>
      </c>
      <c r="N523" s="7">
        <v>206673.94</v>
      </c>
      <c r="O523" s="8">
        <v>12180.86</v>
      </c>
      <c r="P523" s="3" t="s">
        <v>0</v>
      </c>
      <c r="Q523" s="3" t="s">
        <v>6</v>
      </c>
    </row>
    <row r="524" spans="1:17" x14ac:dyDescent="0.25">
      <c r="A524" s="3" t="s">
        <v>2205</v>
      </c>
      <c r="B524" s="3" t="s">
        <v>2585</v>
      </c>
      <c r="C524" s="3" t="s">
        <v>120</v>
      </c>
      <c r="D524" s="3" t="s">
        <v>2586</v>
      </c>
      <c r="E524" s="3" t="s">
        <v>2587</v>
      </c>
      <c r="F524" s="3" t="s">
        <v>2588</v>
      </c>
      <c r="G524" s="15">
        <v>46133</v>
      </c>
      <c r="H524" s="16">
        <f t="shared" si="16"/>
        <v>1376</v>
      </c>
      <c r="I524" s="16" t="str">
        <f t="shared" si="17"/>
        <v>Maior 365 dias</v>
      </c>
      <c r="J524" s="11">
        <v>54</v>
      </c>
      <c r="K524" s="8">
        <v>93092.97</v>
      </c>
      <c r="L524" s="8">
        <v>21342.02</v>
      </c>
      <c r="M524" s="7">
        <v>114434.99</v>
      </c>
      <c r="N524" s="8">
        <v>48626.74</v>
      </c>
      <c r="O524" s="7">
        <v>318204.68</v>
      </c>
      <c r="P524" s="3" t="s">
        <v>0</v>
      </c>
      <c r="Q524" s="3" t="s">
        <v>6</v>
      </c>
    </row>
    <row r="525" spans="1:17" x14ac:dyDescent="0.25">
      <c r="A525" s="3" t="s">
        <v>192</v>
      </c>
      <c r="B525" s="3" t="s">
        <v>2589</v>
      </c>
      <c r="C525" s="3" t="s">
        <v>37</v>
      </c>
      <c r="D525" s="3" t="s">
        <v>2590</v>
      </c>
      <c r="E525" s="3" t="s">
        <v>295</v>
      </c>
      <c r="F525" s="3" t="s">
        <v>2591</v>
      </c>
      <c r="G525" s="15">
        <v>46133</v>
      </c>
      <c r="H525" s="16">
        <f t="shared" si="16"/>
        <v>1161</v>
      </c>
      <c r="I525" s="16" t="str">
        <f t="shared" si="17"/>
        <v>Maior 365 dias</v>
      </c>
      <c r="J525" s="11">
        <v>39</v>
      </c>
      <c r="K525" s="8">
        <v>59486.16</v>
      </c>
      <c r="L525" s="8">
        <v>13000.75</v>
      </c>
      <c r="M525" s="8">
        <v>72486.91</v>
      </c>
      <c r="N525" s="8">
        <v>15547.04</v>
      </c>
      <c r="O525" s="7">
        <v>120548.16</v>
      </c>
      <c r="P525" s="3" t="s">
        <v>0</v>
      </c>
      <c r="Q525" s="3" t="s">
        <v>6</v>
      </c>
    </row>
    <row r="526" spans="1:17" x14ac:dyDescent="0.25">
      <c r="A526" s="3" t="s">
        <v>2592</v>
      </c>
      <c r="B526" s="3" t="s">
        <v>2593</v>
      </c>
      <c r="C526" s="3" t="s">
        <v>128</v>
      </c>
      <c r="D526" s="3" t="s">
        <v>2594</v>
      </c>
      <c r="E526" s="3" t="s">
        <v>420</v>
      </c>
      <c r="F526" s="3" t="s">
        <v>2595</v>
      </c>
      <c r="G526" s="15">
        <v>46133</v>
      </c>
      <c r="H526" s="16">
        <f t="shared" si="16"/>
        <v>944</v>
      </c>
      <c r="I526" s="16" t="str">
        <f t="shared" si="17"/>
        <v>Maior 365 dias</v>
      </c>
      <c r="J526" s="11">
        <v>33</v>
      </c>
      <c r="K526" s="8">
        <v>53138.67</v>
      </c>
      <c r="L526" s="5">
        <v>8818.2199999999993</v>
      </c>
      <c r="M526" s="8">
        <v>61956.89</v>
      </c>
      <c r="N526" s="8">
        <v>42477.08</v>
      </c>
      <c r="O526" s="7">
        <v>329717.87</v>
      </c>
      <c r="P526" s="3" t="s">
        <v>0</v>
      </c>
      <c r="Q526" s="3" t="s">
        <v>6</v>
      </c>
    </row>
    <row r="527" spans="1:17" x14ac:dyDescent="0.25">
      <c r="A527" s="3" t="s">
        <v>2596</v>
      </c>
      <c r="B527" s="3" t="s">
        <v>2597</v>
      </c>
      <c r="C527" s="3" t="s">
        <v>37</v>
      </c>
      <c r="D527" s="3" t="s">
        <v>2598</v>
      </c>
      <c r="E527" s="3" t="s">
        <v>2599</v>
      </c>
      <c r="F527" s="3" t="s">
        <v>1437</v>
      </c>
      <c r="G527" s="15">
        <v>46133</v>
      </c>
      <c r="H527" s="16">
        <f t="shared" si="16"/>
        <v>670</v>
      </c>
      <c r="I527" s="16" t="str">
        <f t="shared" si="17"/>
        <v>Maior 365 dias</v>
      </c>
      <c r="J527" s="11">
        <v>23</v>
      </c>
      <c r="K527" s="8">
        <v>16033.21</v>
      </c>
      <c r="L527" s="5">
        <v>2140.83</v>
      </c>
      <c r="M527" s="8">
        <v>18174.04</v>
      </c>
      <c r="N527" s="10">
        <v>0</v>
      </c>
      <c r="O527" s="7">
        <v>169855.83</v>
      </c>
      <c r="P527" s="3" t="s">
        <v>0</v>
      </c>
      <c r="Q527" s="3" t="s">
        <v>6</v>
      </c>
    </row>
    <row r="528" spans="1:17" x14ac:dyDescent="0.25">
      <c r="A528" s="3" t="s">
        <v>2600</v>
      </c>
      <c r="B528" s="3" t="s">
        <v>2601</v>
      </c>
      <c r="C528" s="3" t="s">
        <v>128</v>
      </c>
      <c r="D528" s="3" t="s">
        <v>2602</v>
      </c>
      <c r="E528" s="3" t="s">
        <v>2603</v>
      </c>
      <c r="F528" s="3" t="s">
        <v>319</v>
      </c>
      <c r="G528" s="15">
        <v>46133</v>
      </c>
      <c r="H528" s="16">
        <f t="shared" si="16"/>
        <v>507</v>
      </c>
      <c r="I528" s="16" t="str">
        <f t="shared" si="17"/>
        <v>Maior 365 dias</v>
      </c>
      <c r="J528" s="11">
        <v>34</v>
      </c>
      <c r="K528" s="8">
        <v>93437.13</v>
      </c>
      <c r="L528" s="8">
        <v>10069.459999999999</v>
      </c>
      <c r="M528" s="7">
        <v>103506.59</v>
      </c>
      <c r="N528" s="8">
        <v>15868.76</v>
      </c>
      <c r="O528" s="12">
        <v>1213961.95</v>
      </c>
      <c r="P528" s="3" t="s">
        <v>0</v>
      </c>
      <c r="Q528" s="3" t="s">
        <v>6</v>
      </c>
    </row>
    <row r="529" spans="1:17" x14ac:dyDescent="0.25">
      <c r="A529" s="3" t="s">
        <v>2604</v>
      </c>
      <c r="B529" s="3" t="s">
        <v>2605</v>
      </c>
      <c r="C529" s="3" t="s">
        <v>120</v>
      </c>
      <c r="D529" s="3" t="s">
        <v>2606</v>
      </c>
      <c r="E529" s="3" t="s">
        <v>2607</v>
      </c>
      <c r="F529" s="3" t="s">
        <v>1513</v>
      </c>
      <c r="G529" s="15">
        <v>46133</v>
      </c>
      <c r="H529" s="16">
        <f t="shared" si="16"/>
        <v>537</v>
      </c>
      <c r="I529" s="16" t="str">
        <f t="shared" si="17"/>
        <v>Maior 365 dias</v>
      </c>
      <c r="J529" s="11">
        <v>47</v>
      </c>
      <c r="K529" s="8">
        <v>54940.78</v>
      </c>
      <c r="L529" s="5">
        <v>6938.64</v>
      </c>
      <c r="M529" s="8">
        <v>61879.42</v>
      </c>
      <c r="N529" s="8">
        <v>39548.300000000003</v>
      </c>
      <c r="O529" s="7">
        <v>254868.2</v>
      </c>
      <c r="P529" s="3" t="s">
        <v>0</v>
      </c>
      <c r="Q529" s="3" t="s">
        <v>6</v>
      </c>
    </row>
    <row r="530" spans="1:17" x14ac:dyDescent="0.25">
      <c r="A530" s="3" t="s">
        <v>1938</v>
      </c>
      <c r="B530" s="3" t="s">
        <v>2608</v>
      </c>
      <c r="C530" s="3" t="s">
        <v>120</v>
      </c>
      <c r="D530" s="3" t="s">
        <v>2609</v>
      </c>
      <c r="E530" s="3" t="s">
        <v>420</v>
      </c>
      <c r="F530" s="3" t="s">
        <v>2610</v>
      </c>
      <c r="G530" s="15">
        <v>46133</v>
      </c>
      <c r="H530" s="16">
        <f t="shared" si="16"/>
        <v>1138</v>
      </c>
      <c r="I530" s="16" t="str">
        <f t="shared" si="17"/>
        <v>Maior 365 dias</v>
      </c>
      <c r="J530" s="11">
        <v>51</v>
      </c>
      <c r="K530" s="8">
        <v>73113.14</v>
      </c>
      <c r="L530" s="8">
        <v>16440.05</v>
      </c>
      <c r="M530" s="8">
        <v>89553.19</v>
      </c>
      <c r="N530" s="8">
        <v>26549.91</v>
      </c>
      <c r="O530" s="7">
        <v>304759.3</v>
      </c>
      <c r="P530" s="3" t="s">
        <v>0</v>
      </c>
      <c r="Q530" s="3" t="s">
        <v>6</v>
      </c>
    </row>
    <row r="531" spans="1:17" x14ac:dyDescent="0.25">
      <c r="A531" s="3" t="s">
        <v>2611</v>
      </c>
      <c r="B531" s="3" t="s">
        <v>2612</v>
      </c>
      <c r="C531" s="3" t="s">
        <v>37</v>
      </c>
      <c r="D531" s="3" t="s">
        <v>2613</v>
      </c>
      <c r="E531" s="3" t="s">
        <v>2614</v>
      </c>
      <c r="F531" s="3" t="s">
        <v>201</v>
      </c>
      <c r="G531" s="15">
        <v>46133</v>
      </c>
      <c r="H531" s="16">
        <f t="shared" si="16"/>
        <v>675</v>
      </c>
      <c r="I531" s="16" t="str">
        <f t="shared" si="17"/>
        <v>Maior 365 dias</v>
      </c>
      <c r="J531" s="11">
        <v>24</v>
      </c>
      <c r="K531" s="8">
        <v>22282.83</v>
      </c>
      <c r="L531" s="5">
        <v>3116.16</v>
      </c>
      <c r="M531" s="8">
        <v>25398.99</v>
      </c>
      <c r="N531" s="5">
        <v>1825.38</v>
      </c>
      <c r="O531" s="7">
        <v>221777.91</v>
      </c>
      <c r="P531" s="3" t="s">
        <v>0</v>
      </c>
      <c r="Q531" s="3" t="s">
        <v>6</v>
      </c>
    </row>
    <row r="532" spans="1:17" x14ac:dyDescent="0.25">
      <c r="A532" s="3" t="s">
        <v>1941</v>
      </c>
      <c r="B532" s="3" t="s">
        <v>2615</v>
      </c>
      <c r="C532" s="3" t="s">
        <v>194</v>
      </c>
      <c r="D532" s="3" t="s">
        <v>2616</v>
      </c>
      <c r="E532" s="3" t="s">
        <v>139</v>
      </c>
      <c r="F532" s="3" t="s">
        <v>2617</v>
      </c>
      <c r="G532" s="15">
        <v>46133</v>
      </c>
      <c r="H532" s="16">
        <f t="shared" si="16"/>
        <v>498</v>
      </c>
      <c r="I532" s="16" t="str">
        <f t="shared" si="17"/>
        <v>Maior 365 dias</v>
      </c>
      <c r="J532" s="11">
        <v>19</v>
      </c>
      <c r="K532" s="8">
        <v>51359.12</v>
      </c>
      <c r="L532" s="5">
        <v>5566.63</v>
      </c>
      <c r="M532" s="8">
        <v>56925.75</v>
      </c>
      <c r="N532" s="8">
        <v>95106.02</v>
      </c>
      <c r="O532" s="7">
        <v>368861.98</v>
      </c>
      <c r="P532" s="3" t="s">
        <v>0</v>
      </c>
      <c r="Q532" s="3" t="s">
        <v>6</v>
      </c>
    </row>
    <row r="533" spans="1:17" x14ac:dyDescent="0.25">
      <c r="A533" s="3" t="s">
        <v>2618</v>
      </c>
      <c r="B533" s="3" t="s">
        <v>2615</v>
      </c>
      <c r="C533" s="3" t="s">
        <v>194</v>
      </c>
      <c r="D533" s="3" t="s">
        <v>2619</v>
      </c>
      <c r="E533" s="3" t="s">
        <v>139</v>
      </c>
      <c r="F533" s="3" t="s">
        <v>2617</v>
      </c>
      <c r="G533" s="15">
        <v>46133</v>
      </c>
      <c r="H533" s="16">
        <f t="shared" si="16"/>
        <v>498</v>
      </c>
      <c r="I533" s="16" t="str">
        <f t="shared" si="17"/>
        <v>Maior 365 dias</v>
      </c>
      <c r="J533" s="11">
        <v>19</v>
      </c>
      <c r="K533" s="8">
        <v>49217.9</v>
      </c>
      <c r="L533" s="5">
        <v>5347.6</v>
      </c>
      <c r="M533" s="8">
        <v>54565.5</v>
      </c>
      <c r="N533" s="8">
        <v>95106.03</v>
      </c>
      <c r="O533" s="7">
        <v>352239.04</v>
      </c>
      <c r="P533" s="3" t="s">
        <v>0</v>
      </c>
      <c r="Q533" s="3" t="s">
        <v>6</v>
      </c>
    </row>
    <row r="534" spans="1:17" x14ac:dyDescent="0.25">
      <c r="A534" s="3" t="s">
        <v>2620</v>
      </c>
      <c r="B534" s="3" t="s">
        <v>2621</v>
      </c>
      <c r="C534" s="3" t="s">
        <v>37</v>
      </c>
      <c r="D534" s="3" t="s">
        <v>2622</v>
      </c>
      <c r="E534" s="3" t="s">
        <v>2623</v>
      </c>
      <c r="F534" s="3" t="s">
        <v>2624</v>
      </c>
      <c r="G534" s="15">
        <v>46133</v>
      </c>
      <c r="H534" s="16">
        <f t="shared" si="16"/>
        <v>680</v>
      </c>
      <c r="I534" s="16" t="str">
        <f t="shared" si="17"/>
        <v>Maior 365 dias</v>
      </c>
      <c r="J534" s="11">
        <v>23</v>
      </c>
      <c r="K534" s="8">
        <v>16171.22</v>
      </c>
      <c r="L534" s="5">
        <v>2218.48</v>
      </c>
      <c r="M534" s="8">
        <v>18389.7</v>
      </c>
      <c r="N534" s="5">
        <v>1310.68</v>
      </c>
      <c r="O534" s="7">
        <v>170375.67</v>
      </c>
      <c r="P534" s="3" t="s">
        <v>0</v>
      </c>
      <c r="Q534" s="3" t="s">
        <v>6</v>
      </c>
    </row>
    <row r="535" spans="1:17" x14ac:dyDescent="0.25">
      <c r="A535" s="3" t="s">
        <v>2625</v>
      </c>
      <c r="B535" s="3" t="s">
        <v>2626</v>
      </c>
      <c r="C535" s="3" t="s">
        <v>128</v>
      </c>
      <c r="D535" s="3" t="s">
        <v>2627</v>
      </c>
      <c r="E535" s="3" t="s">
        <v>940</v>
      </c>
      <c r="F535" s="3" t="s">
        <v>2293</v>
      </c>
      <c r="G535" s="15">
        <v>46133</v>
      </c>
      <c r="H535" s="16">
        <f t="shared" si="16"/>
        <v>522</v>
      </c>
      <c r="I535" s="16" t="str">
        <f t="shared" si="17"/>
        <v>Maior 365 dias</v>
      </c>
      <c r="J535" s="11">
        <v>55</v>
      </c>
      <c r="K535" s="8">
        <v>57062.29</v>
      </c>
      <c r="L535" s="5">
        <v>6178.64</v>
      </c>
      <c r="M535" s="8">
        <v>63240.93</v>
      </c>
      <c r="N535" s="8">
        <v>64220.15</v>
      </c>
      <c r="O535" s="7">
        <v>368632.59</v>
      </c>
      <c r="P535" s="3" t="s">
        <v>0</v>
      </c>
      <c r="Q535" s="3" t="s">
        <v>6</v>
      </c>
    </row>
    <row r="536" spans="1:17" x14ac:dyDescent="0.25">
      <c r="A536" s="3" t="s">
        <v>2628</v>
      </c>
      <c r="B536" s="3" t="s">
        <v>2629</v>
      </c>
      <c r="C536" s="3" t="s">
        <v>128</v>
      </c>
      <c r="D536" s="3" t="s">
        <v>2630</v>
      </c>
      <c r="E536" s="3" t="s">
        <v>861</v>
      </c>
      <c r="F536" s="3" t="s">
        <v>2631</v>
      </c>
      <c r="G536" s="15">
        <v>46133</v>
      </c>
      <c r="H536" s="16">
        <f t="shared" si="16"/>
        <v>2609</v>
      </c>
      <c r="I536" s="16" t="str">
        <f t="shared" si="17"/>
        <v>Maior 365 dias</v>
      </c>
      <c r="J536" s="4">
        <v>6</v>
      </c>
      <c r="K536" s="8">
        <v>21019.51</v>
      </c>
      <c r="L536" s="8">
        <v>18483.580000000002</v>
      </c>
      <c r="M536" s="8">
        <v>39503.089999999997</v>
      </c>
      <c r="N536" s="8">
        <v>65129.24</v>
      </c>
      <c r="O536" s="8">
        <v>21019.51</v>
      </c>
      <c r="P536" s="3" t="s">
        <v>0</v>
      </c>
      <c r="Q536" s="3" t="s">
        <v>6</v>
      </c>
    </row>
    <row r="537" spans="1:17" x14ac:dyDescent="0.25">
      <c r="A537" s="3" t="s">
        <v>2632</v>
      </c>
      <c r="B537" s="3" t="s">
        <v>2629</v>
      </c>
      <c r="C537" s="3" t="s">
        <v>128</v>
      </c>
      <c r="D537" s="3" t="s">
        <v>2633</v>
      </c>
      <c r="E537" s="3" t="s">
        <v>861</v>
      </c>
      <c r="F537" s="3" t="s">
        <v>2634</v>
      </c>
      <c r="G537" s="15">
        <v>46133</v>
      </c>
      <c r="H537" s="16">
        <f t="shared" si="16"/>
        <v>2730</v>
      </c>
      <c r="I537" s="16" t="str">
        <f t="shared" si="17"/>
        <v>Maior 365 dias</v>
      </c>
      <c r="J537" s="11">
        <v>89</v>
      </c>
      <c r="K537" s="7">
        <v>167635.94</v>
      </c>
      <c r="L537" s="8">
        <v>70707.06</v>
      </c>
      <c r="M537" s="7">
        <v>238343</v>
      </c>
      <c r="N537" s="8">
        <v>21213.47</v>
      </c>
      <c r="O537" s="7">
        <v>216912.34</v>
      </c>
      <c r="P537" s="3" t="s">
        <v>0</v>
      </c>
      <c r="Q537" s="3" t="s">
        <v>6</v>
      </c>
    </row>
    <row r="538" spans="1:17" x14ac:dyDescent="0.25">
      <c r="A538" s="3" t="s">
        <v>635</v>
      </c>
      <c r="B538" s="3" t="s">
        <v>2635</v>
      </c>
      <c r="C538" s="3" t="s">
        <v>120</v>
      </c>
      <c r="D538" s="3" t="s">
        <v>2636</v>
      </c>
      <c r="E538" s="3" t="s">
        <v>2637</v>
      </c>
      <c r="F538" s="3" t="s">
        <v>2638</v>
      </c>
      <c r="G538" s="15">
        <v>46133</v>
      </c>
      <c r="H538" s="16">
        <f t="shared" si="16"/>
        <v>789</v>
      </c>
      <c r="I538" s="16" t="str">
        <f t="shared" si="17"/>
        <v>Maior 365 dias</v>
      </c>
      <c r="J538" s="11">
        <v>30</v>
      </c>
      <c r="K538" s="8">
        <v>73175.3</v>
      </c>
      <c r="L538" s="8">
        <v>14410</v>
      </c>
      <c r="M538" s="8">
        <v>87585.3</v>
      </c>
      <c r="N538" s="8">
        <v>23114.720000000001</v>
      </c>
      <c r="O538" s="7">
        <v>297930.84000000003</v>
      </c>
      <c r="P538" s="3" t="s">
        <v>0</v>
      </c>
      <c r="Q538" s="3" t="s">
        <v>6</v>
      </c>
    </row>
    <row r="539" spans="1:17" x14ac:dyDescent="0.25">
      <c r="A539" s="3" t="s">
        <v>2639</v>
      </c>
      <c r="B539" s="3" t="s">
        <v>2640</v>
      </c>
      <c r="C539" s="3" t="s">
        <v>128</v>
      </c>
      <c r="D539" s="3" t="s">
        <v>2641</v>
      </c>
      <c r="E539" s="3" t="s">
        <v>2642</v>
      </c>
      <c r="F539" s="3" t="s">
        <v>2643</v>
      </c>
      <c r="G539" s="15">
        <v>46133</v>
      </c>
      <c r="H539" s="16">
        <f t="shared" si="16"/>
        <v>1424</v>
      </c>
      <c r="I539" s="16" t="str">
        <f t="shared" si="17"/>
        <v>Maior 365 dias</v>
      </c>
      <c r="J539" s="11">
        <v>47</v>
      </c>
      <c r="K539" s="8">
        <v>91214.8</v>
      </c>
      <c r="L539" s="8">
        <v>23212.19</v>
      </c>
      <c r="M539" s="7">
        <v>114426.99</v>
      </c>
      <c r="N539" s="8">
        <v>71887.520000000004</v>
      </c>
      <c r="O539" s="7">
        <v>273206.68</v>
      </c>
      <c r="P539" s="3" t="s">
        <v>0</v>
      </c>
      <c r="Q539" s="3" t="s">
        <v>6</v>
      </c>
    </row>
    <row r="540" spans="1:17" x14ac:dyDescent="0.25">
      <c r="A540" s="3" t="s">
        <v>447</v>
      </c>
      <c r="B540" s="3" t="s">
        <v>2644</v>
      </c>
      <c r="C540" s="3" t="s">
        <v>94</v>
      </c>
      <c r="D540" s="3" t="s">
        <v>2645</v>
      </c>
      <c r="E540" s="3" t="s">
        <v>2646</v>
      </c>
      <c r="F540" s="3" t="s">
        <v>2647</v>
      </c>
      <c r="G540" s="15">
        <v>46133</v>
      </c>
      <c r="H540" s="16">
        <f t="shared" si="16"/>
        <v>1087</v>
      </c>
      <c r="I540" s="16" t="str">
        <f t="shared" si="17"/>
        <v>Maior 365 dias</v>
      </c>
      <c r="J540" s="11">
        <v>39</v>
      </c>
      <c r="K540" s="8">
        <v>27216.45</v>
      </c>
      <c r="L540" s="5">
        <v>5509.36</v>
      </c>
      <c r="M540" s="8">
        <v>32725.81</v>
      </c>
      <c r="N540" s="8">
        <v>12012.72</v>
      </c>
      <c r="O540" s="7">
        <v>142991.29999999999</v>
      </c>
      <c r="P540" s="3" t="s">
        <v>0</v>
      </c>
      <c r="Q540" s="3" t="s">
        <v>6</v>
      </c>
    </row>
    <row r="541" spans="1:17" x14ac:dyDescent="0.25">
      <c r="A541" s="3" t="s">
        <v>1949</v>
      </c>
      <c r="B541" s="3" t="s">
        <v>2648</v>
      </c>
      <c r="C541" s="3" t="s">
        <v>194</v>
      </c>
      <c r="D541" s="3" t="s">
        <v>2649</v>
      </c>
      <c r="E541" s="3" t="s">
        <v>1797</v>
      </c>
      <c r="F541" s="3" t="s">
        <v>2650</v>
      </c>
      <c r="G541" s="15">
        <v>46133</v>
      </c>
      <c r="H541" s="16">
        <f t="shared" si="16"/>
        <v>773</v>
      </c>
      <c r="I541" s="16" t="str">
        <f t="shared" si="17"/>
        <v>Maior 365 dias</v>
      </c>
      <c r="J541" s="11">
        <v>26</v>
      </c>
      <c r="K541" s="8">
        <v>77154.38</v>
      </c>
      <c r="L541" s="8">
        <v>11821.41</v>
      </c>
      <c r="M541" s="8">
        <v>88975.79</v>
      </c>
      <c r="N541" s="8">
        <v>74609.63</v>
      </c>
      <c r="O541" s="7">
        <v>385680.58</v>
      </c>
      <c r="P541" s="3" t="s">
        <v>0</v>
      </c>
      <c r="Q541" s="3" t="s">
        <v>6</v>
      </c>
    </row>
    <row r="542" spans="1:17" x14ac:dyDescent="0.25">
      <c r="A542" s="3" t="s">
        <v>2651</v>
      </c>
      <c r="B542" s="3" t="s">
        <v>2648</v>
      </c>
      <c r="C542" s="3" t="s">
        <v>194</v>
      </c>
      <c r="D542" s="3" t="s">
        <v>2652</v>
      </c>
      <c r="E542" s="3" t="s">
        <v>1797</v>
      </c>
      <c r="F542" s="3" t="s">
        <v>2650</v>
      </c>
      <c r="G542" s="15">
        <v>46133</v>
      </c>
      <c r="H542" s="16">
        <f t="shared" si="16"/>
        <v>773</v>
      </c>
      <c r="I542" s="16" t="str">
        <f t="shared" si="17"/>
        <v>Maior 365 dias</v>
      </c>
      <c r="J542" s="11">
        <v>26</v>
      </c>
      <c r="K542" s="8">
        <v>77154.38</v>
      </c>
      <c r="L542" s="8">
        <v>11821.41</v>
      </c>
      <c r="M542" s="8">
        <v>88975.79</v>
      </c>
      <c r="N542" s="8">
        <v>75151.11</v>
      </c>
      <c r="O542" s="7">
        <v>385680.58</v>
      </c>
      <c r="P542" s="3" t="s">
        <v>0</v>
      </c>
      <c r="Q542" s="3" t="s">
        <v>6</v>
      </c>
    </row>
    <row r="543" spans="1:17" x14ac:dyDescent="0.25">
      <c r="A543" s="3" t="s">
        <v>2653</v>
      </c>
      <c r="B543" s="3" t="s">
        <v>2654</v>
      </c>
      <c r="C543" s="3" t="s">
        <v>120</v>
      </c>
      <c r="D543" s="3" t="s">
        <v>2655</v>
      </c>
      <c r="E543" s="3" t="s">
        <v>626</v>
      </c>
      <c r="F543" s="3" t="s">
        <v>2397</v>
      </c>
      <c r="G543" s="15">
        <v>46133</v>
      </c>
      <c r="H543" s="16">
        <f t="shared" si="16"/>
        <v>1513</v>
      </c>
      <c r="I543" s="16" t="str">
        <f t="shared" si="17"/>
        <v>Maior 365 dias</v>
      </c>
      <c r="J543" s="11">
        <v>50</v>
      </c>
      <c r="K543" s="7">
        <v>110586.5</v>
      </c>
      <c r="L543" s="8">
        <v>30573.89</v>
      </c>
      <c r="M543" s="7">
        <v>141160.39000000001</v>
      </c>
      <c r="N543" s="8">
        <v>25313.439999999999</v>
      </c>
      <c r="O543" s="7">
        <v>380417.56</v>
      </c>
      <c r="P543" s="3" t="s">
        <v>0</v>
      </c>
      <c r="Q543" s="3" t="s">
        <v>6</v>
      </c>
    </row>
    <row r="544" spans="1:17" x14ac:dyDescent="0.25">
      <c r="A544" s="3" t="s">
        <v>2604</v>
      </c>
      <c r="B544" s="3" t="s">
        <v>2656</v>
      </c>
      <c r="C544" s="3" t="s">
        <v>94</v>
      </c>
      <c r="D544" s="3" t="s">
        <v>2657</v>
      </c>
      <c r="E544" s="3" t="s">
        <v>2658</v>
      </c>
      <c r="F544" s="3" t="s">
        <v>2659</v>
      </c>
      <c r="G544" s="15">
        <v>46133</v>
      </c>
      <c r="H544" s="16">
        <f t="shared" si="16"/>
        <v>1350</v>
      </c>
      <c r="I544" s="16" t="str">
        <f t="shared" si="17"/>
        <v>Maior 365 dias</v>
      </c>
      <c r="J544" s="11">
        <v>49</v>
      </c>
      <c r="K544" s="8">
        <v>34414.94</v>
      </c>
      <c r="L544" s="5">
        <v>8305.7999999999993</v>
      </c>
      <c r="M544" s="8">
        <v>42720.74</v>
      </c>
      <c r="N544" s="8">
        <v>13742.36</v>
      </c>
      <c r="O544" s="7">
        <v>140633.41</v>
      </c>
      <c r="P544" s="3" t="s">
        <v>0</v>
      </c>
      <c r="Q544" s="3" t="s">
        <v>6</v>
      </c>
    </row>
    <row r="545" spans="1:17" x14ac:dyDescent="0.25">
      <c r="A545" s="3" t="s">
        <v>2660</v>
      </c>
      <c r="B545" s="3" t="s">
        <v>2661</v>
      </c>
      <c r="C545" s="3" t="s">
        <v>25</v>
      </c>
      <c r="D545" s="3" t="s">
        <v>2662</v>
      </c>
      <c r="E545" s="3" t="s">
        <v>2663</v>
      </c>
      <c r="F545" s="3" t="s">
        <v>2191</v>
      </c>
      <c r="G545" s="15">
        <v>46133</v>
      </c>
      <c r="H545" s="16">
        <f t="shared" si="16"/>
        <v>387</v>
      </c>
      <c r="I545" s="16" t="str">
        <f t="shared" si="17"/>
        <v>Maior 365 dias</v>
      </c>
      <c r="J545" s="11">
        <v>16</v>
      </c>
      <c r="K545" s="8">
        <v>39703.42</v>
      </c>
      <c r="L545" s="5">
        <v>3820.1</v>
      </c>
      <c r="M545" s="8">
        <v>43523.519999999997</v>
      </c>
      <c r="N545" s="8">
        <v>52118.05</v>
      </c>
      <c r="O545" s="8">
        <v>61245.82</v>
      </c>
      <c r="P545" s="3" t="s">
        <v>0</v>
      </c>
      <c r="Q545" s="3" t="s">
        <v>6</v>
      </c>
    </row>
    <row r="546" spans="1:17" x14ac:dyDescent="0.25">
      <c r="A546" s="3" t="s">
        <v>2664</v>
      </c>
      <c r="B546" s="3" t="s">
        <v>2665</v>
      </c>
      <c r="C546" s="3" t="s">
        <v>128</v>
      </c>
      <c r="D546" s="3" t="s">
        <v>2666</v>
      </c>
      <c r="E546" s="3" t="s">
        <v>2515</v>
      </c>
      <c r="F546" s="3" t="s">
        <v>2667</v>
      </c>
      <c r="G546" s="15">
        <v>46133</v>
      </c>
      <c r="H546" s="16">
        <f t="shared" si="16"/>
        <v>731</v>
      </c>
      <c r="I546" s="16" t="str">
        <f t="shared" si="17"/>
        <v>Maior 365 dias</v>
      </c>
      <c r="J546" s="11">
        <v>54</v>
      </c>
      <c r="K546" s="8">
        <v>87666.81</v>
      </c>
      <c r="L546" s="8">
        <v>15093.96</v>
      </c>
      <c r="M546" s="7">
        <v>102760.77</v>
      </c>
      <c r="N546" s="8">
        <v>30396.25</v>
      </c>
      <c r="O546" s="7">
        <v>412869.38</v>
      </c>
      <c r="P546" s="3" t="s">
        <v>0</v>
      </c>
      <c r="Q546" s="3" t="s">
        <v>6</v>
      </c>
    </row>
    <row r="547" spans="1:17" x14ac:dyDescent="0.25">
      <c r="A547" s="3" t="s">
        <v>2668</v>
      </c>
      <c r="B547" s="3" t="s">
        <v>1271</v>
      </c>
      <c r="C547" s="3" t="s">
        <v>128</v>
      </c>
      <c r="D547" s="3" t="s">
        <v>2669</v>
      </c>
      <c r="E547" s="3" t="s">
        <v>2670</v>
      </c>
      <c r="F547" s="3" t="s">
        <v>2647</v>
      </c>
      <c r="G547" s="15">
        <v>46133</v>
      </c>
      <c r="H547" s="16">
        <f t="shared" si="16"/>
        <v>1087</v>
      </c>
      <c r="I547" s="16" t="str">
        <f t="shared" si="17"/>
        <v>Maior 365 dias</v>
      </c>
      <c r="J547" s="11">
        <v>39</v>
      </c>
      <c r="K547" s="8">
        <v>88502.26</v>
      </c>
      <c r="L547" s="8">
        <v>17700.96</v>
      </c>
      <c r="M547" s="7">
        <v>106203.22</v>
      </c>
      <c r="N547" s="8">
        <v>54924.66</v>
      </c>
      <c r="O547" s="7">
        <v>406105.66</v>
      </c>
      <c r="P547" s="3" t="s">
        <v>0</v>
      </c>
      <c r="Q547" s="3" t="s">
        <v>6</v>
      </c>
    </row>
    <row r="548" spans="1:17" x14ac:dyDescent="0.25">
      <c r="A548" s="3" t="s">
        <v>458</v>
      </c>
      <c r="B548" s="3" t="s">
        <v>2671</v>
      </c>
      <c r="C548" s="3" t="s">
        <v>94</v>
      </c>
      <c r="D548" s="3" t="s">
        <v>2672</v>
      </c>
      <c r="E548" s="3" t="s">
        <v>908</v>
      </c>
      <c r="F548" s="3" t="s">
        <v>2673</v>
      </c>
      <c r="G548" s="15">
        <v>46133</v>
      </c>
      <c r="H548" s="16">
        <f t="shared" si="16"/>
        <v>853</v>
      </c>
      <c r="I548" s="16" t="str">
        <f t="shared" si="17"/>
        <v>Maior 365 dias</v>
      </c>
      <c r="J548" s="11">
        <v>32</v>
      </c>
      <c r="K548" s="8">
        <v>29271.83</v>
      </c>
      <c r="L548" s="5">
        <v>4801.46</v>
      </c>
      <c r="M548" s="8">
        <v>34073.29</v>
      </c>
      <c r="N548" s="8">
        <v>25660.89</v>
      </c>
      <c r="O548" s="7">
        <v>158217.97</v>
      </c>
      <c r="P548" s="3" t="s">
        <v>0</v>
      </c>
      <c r="Q548" s="3" t="s">
        <v>6</v>
      </c>
    </row>
    <row r="549" spans="1:17" x14ac:dyDescent="0.25">
      <c r="A549" s="3" t="s">
        <v>2447</v>
      </c>
      <c r="B549" s="3" t="s">
        <v>632</v>
      </c>
      <c r="C549" s="3" t="s">
        <v>120</v>
      </c>
      <c r="D549" s="3" t="s">
        <v>2674</v>
      </c>
      <c r="E549" s="3" t="s">
        <v>626</v>
      </c>
      <c r="F549" s="3" t="s">
        <v>2675</v>
      </c>
      <c r="G549" s="15">
        <v>46133</v>
      </c>
      <c r="H549" s="16">
        <f t="shared" si="16"/>
        <v>366</v>
      </c>
      <c r="I549" s="16" t="str">
        <f t="shared" si="17"/>
        <v>Maior 365 dias</v>
      </c>
      <c r="J549" s="4">
        <v>7</v>
      </c>
      <c r="K549" s="8">
        <v>12803.1</v>
      </c>
      <c r="L549" s="6">
        <v>881.22</v>
      </c>
      <c r="M549" s="8">
        <v>13684.32</v>
      </c>
      <c r="N549" s="8">
        <v>66914.36</v>
      </c>
      <c r="O549" s="7">
        <v>210124.55</v>
      </c>
      <c r="P549" s="3" t="s">
        <v>0</v>
      </c>
      <c r="Q549" s="3" t="s">
        <v>6</v>
      </c>
    </row>
    <row r="550" spans="1:17" x14ac:dyDescent="0.25">
      <c r="A550" s="3" t="s">
        <v>2676</v>
      </c>
      <c r="B550" s="3" t="s">
        <v>2677</v>
      </c>
      <c r="C550" s="3" t="s">
        <v>128</v>
      </c>
      <c r="D550" s="3" t="s">
        <v>2678</v>
      </c>
      <c r="E550" s="3" t="s">
        <v>2679</v>
      </c>
      <c r="F550" s="3" t="s">
        <v>2373</v>
      </c>
      <c r="G550" s="15">
        <v>46133</v>
      </c>
      <c r="H550" s="16">
        <f t="shared" si="16"/>
        <v>417</v>
      </c>
      <c r="I550" s="16" t="str">
        <f t="shared" si="17"/>
        <v>Maior 365 dias</v>
      </c>
      <c r="J550" s="11">
        <v>22</v>
      </c>
      <c r="K550" s="8">
        <v>39997.919999999998</v>
      </c>
      <c r="L550" s="5">
        <v>3741.37</v>
      </c>
      <c r="M550" s="8">
        <v>43739.29</v>
      </c>
      <c r="N550" s="8">
        <v>32985.83</v>
      </c>
      <c r="O550" s="7">
        <v>686739.68</v>
      </c>
      <c r="P550" s="3" t="s">
        <v>0</v>
      </c>
      <c r="Q550" s="3" t="s">
        <v>6</v>
      </c>
    </row>
    <row r="551" spans="1:17" x14ac:dyDescent="0.25">
      <c r="A551" s="3" t="s">
        <v>2680</v>
      </c>
      <c r="B551" s="3" t="s">
        <v>2681</v>
      </c>
      <c r="C551" s="3" t="s">
        <v>37</v>
      </c>
      <c r="D551" s="3" t="s">
        <v>2682</v>
      </c>
      <c r="E551" s="3" t="s">
        <v>295</v>
      </c>
      <c r="F551" s="3" t="s">
        <v>2081</v>
      </c>
      <c r="G551" s="15">
        <v>46133</v>
      </c>
      <c r="H551" s="16">
        <f t="shared" si="16"/>
        <v>1041</v>
      </c>
      <c r="I551" s="16" t="str">
        <f t="shared" si="17"/>
        <v>Maior 365 dias</v>
      </c>
      <c r="J551" s="11">
        <v>35</v>
      </c>
      <c r="K551" s="8">
        <v>25945.91</v>
      </c>
      <c r="L551" s="5">
        <v>5146.72</v>
      </c>
      <c r="M551" s="8">
        <v>31092.63</v>
      </c>
      <c r="N551" s="8">
        <v>10546.73</v>
      </c>
      <c r="O551" s="7">
        <v>102233.89</v>
      </c>
      <c r="P551" s="3" t="s">
        <v>0</v>
      </c>
      <c r="Q551" s="3" t="s">
        <v>6</v>
      </c>
    </row>
    <row r="552" spans="1:17" x14ac:dyDescent="0.25">
      <c r="A552" s="3" t="s">
        <v>2683</v>
      </c>
      <c r="B552" s="3" t="s">
        <v>2684</v>
      </c>
      <c r="C552" s="3" t="s">
        <v>37</v>
      </c>
      <c r="D552" s="3" t="s">
        <v>2685</v>
      </c>
      <c r="E552" s="3" t="s">
        <v>1833</v>
      </c>
      <c r="F552" s="3" t="s">
        <v>2686</v>
      </c>
      <c r="G552" s="15">
        <v>46133</v>
      </c>
      <c r="H552" s="16">
        <f t="shared" si="16"/>
        <v>691</v>
      </c>
      <c r="I552" s="16" t="str">
        <f t="shared" si="17"/>
        <v>Maior 365 dias</v>
      </c>
      <c r="J552" s="11">
        <v>23</v>
      </c>
      <c r="K552" s="8">
        <v>35527.24</v>
      </c>
      <c r="L552" s="5">
        <v>4998.24</v>
      </c>
      <c r="M552" s="8">
        <v>40525.480000000003</v>
      </c>
      <c r="N552" s="8">
        <v>15369.2</v>
      </c>
      <c r="O552" s="8">
        <v>56990.78</v>
      </c>
      <c r="P552" s="3" t="s">
        <v>0</v>
      </c>
      <c r="Q552" s="3" t="s">
        <v>6</v>
      </c>
    </row>
    <row r="553" spans="1:17" x14ac:dyDescent="0.25">
      <c r="A553" s="3" t="s">
        <v>2687</v>
      </c>
      <c r="B553" s="3" t="s">
        <v>2688</v>
      </c>
      <c r="C553" s="3" t="s">
        <v>120</v>
      </c>
      <c r="D553" s="3" t="s">
        <v>2689</v>
      </c>
      <c r="E553" s="3" t="s">
        <v>2690</v>
      </c>
      <c r="F553" s="3" t="s">
        <v>2273</v>
      </c>
      <c r="G553" s="15">
        <v>46133</v>
      </c>
      <c r="H553" s="16">
        <f t="shared" si="16"/>
        <v>1202</v>
      </c>
      <c r="I553" s="16" t="str">
        <f t="shared" si="17"/>
        <v>Maior 365 dias</v>
      </c>
      <c r="J553" s="11">
        <v>45</v>
      </c>
      <c r="K553" s="8">
        <v>69237.69</v>
      </c>
      <c r="L553" s="8">
        <v>15743.1</v>
      </c>
      <c r="M553" s="8">
        <v>84980.79</v>
      </c>
      <c r="N553" s="8">
        <v>58463.95</v>
      </c>
      <c r="O553" s="7">
        <v>245458.2</v>
      </c>
      <c r="P553" s="3" t="s">
        <v>0</v>
      </c>
      <c r="Q553" s="3" t="s">
        <v>6</v>
      </c>
    </row>
    <row r="554" spans="1:17" x14ac:dyDescent="0.25">
      <c r="A554" s="3" t="s">
        <v>941</v>
      </c>
      <c r="B554" s="3" t="s">
        <v>2691</v>
      </c>
      <c r="C554" s="3" t="s">
        <v>120</v>
      </c>
      <c r="D554" s="3" t="s">
        <v>2692</v>
      </c>
      <c r="E554" s="3" t="s">
        <v>420</v>
      </c>
      <c r="F554" s="3" t="s">
        <v>2187</v>
      </c>
      <c r="G554" s="15">
        <v>46133</v>
      </c>
      <c r="H554" s="16">
        <f t="shared" si="16"/>
        <v>568</v>
      </c>
      <c r="I554" s="16" t="str">
        <f t="shared" si="17"/>
        <v>Maior 365 dias</v>
      </c>
      <c r="J554" s="11">
        <v>44</v>
      </c>
      <c r="K554" s="8">
        <v>48386.47</v>
      </c>
      <c r="L554" s="5">
        <v>6270.33</v>
      </c>
      <c r="M554" s="8">
        <v>54656.800000000003</v>
      </c>
      <c r="N554" s="8">
        <v>53637.3</v>
      </c>
      <c r="O554" s="7">
        <v>268488.74</v>
      </c>
      <c r="P554" s="3" t="s">
        <v>0</v>
      </c>
      <c r="Q554" s="3" t="s">
        <v>6</v>
      </c>
    </row>
    <row r="555" spans="1:17" x14ac:dyDescent="0.25">
      <c r="A555" s="3" t="s">
        <v>2693</v>
      </c>
      <c r="B555" s="3" t="s">
        <v>2694</v>
      </c>
      <c r="C555" s="3" t="s">
        <v>120</v>
      </c>
      <c r="D555" s="3" t="s">
        <v>2695</v>
      </c>
      <c r="E555" s="3" t="s">
        <v>461</v>
      </c>
      <c r="F555" s="3" t="s">
        <v>2673</v>
      </c>
      <c r="G555" s="15">
        <v>46133</v>
      </c>
      <c r="H555" s="16">
        <f t="shared" si="16"/>
        <v>853</v>
      </c>
      <c r="I555" s="16" t="str">
        <f t="shared" si="17"/>
        <v>Maior 365 dias</v>
      </c>
      <c r="J555" s="11">
        <v>34</v>
      </c>
      <c r="K555" s="8">
        <v>57453.74</v>
      </c>
      <c r="L555" s="8">
        <v>11715.48</v>
      </c>
      <c r="M555" s="8">
        <v>69169.22</v>
      </c>
      <c r="N555" s="8">
        <v>36557.74</v>
      </c>
      <c r="O555" s="7">
        <v>238927.08</v>
      </c>
      <c r="P555" s="3" t="s">
        <v>0</v>
      </c>
      <c r="Q555" s="3" t="s">
        <v>6</v>
      </c>
    </row>
    <row r="556" spans="1:17" x14ac:dyDescent="0.25">
      <c r="A556" s="3" t="s">
        <v>2696</v>
      </c>
      <c r="B556" s="3" t="s">
        <v>2697</v>
      </c>
      <c r="C556" s="3" t="s">
        <v>128</v>
      </c>
      <c r="D556" s="3" t="s">
        <v>2698</v>
      </c>
      <c r="E556" s="3" t="s">
        <v>2699</v>
      </c>
      <c r="F556" s="3" t="s">
        <v>2686</v>
      </c>
      <c r="G556" s="15">
        <v>46133</v>
      </c>
      <c r="H556" s="16">
        <f t="shared" si="16"/>
        <v>691</v>
      </c>
      <c r="I556" s="16" t="str">
        <f t="shared" si="17"/>
        <v>Maior 365 dias</v>
      </c>
      <c r="J556" s="11">
        <v>66</v>
      </c>
      <c r="K556" s="8">
        <v>68357.87</v>
      </c>
      <c r="L556" s="5">
        <v>9758.76</v>
      </c>
      <c r="M556" s="8">
        <v>78116.63</v>
      </c>
      <c r="N556" s="8">
        <v>27355.95</v>
      </c>
      <c r="O556" s="7">
        <v>295432.06</v>
      </c>
      <c r="P556" s="3" t="s">
        <v>0</v>
      </c>
      <c r="Q556" s="3" t="s">
        <v>6</v>
      </c>
    </row>
    <row r="557" spans="1:17" x14ac:dyDescent="0.25">
      <c r="A557" s="3" t="s">
        <v>2131</v>
      </c>
      <c r="B557" s="3" t="s">
        <v>2700</v>
      </c>
      <c r="C557" s="3" t="s">
        <v>120</v>
      </c>
      <c r="D557" s="3" t="s">
        <v>2701</v>
      </c>
      <c r="E557" s="3" t="s">
        <v>2702</v>
      </c>
      <c r="F557" s="3" t="s">
        <v>2703</v>
      </c>
      <c r="G557" s="15">
        <v>46133</v>
      </c>
      <c r="H557" s="16">
        <f t="shared" si="16"/>
        <v>1437</v>
      </c>
      <c r="I557" s="16" t="str">
        <f t="shared" si="17"/>
        <v>Maior 365 dias</v>
      </c>
      <c r="J557" s="11">
        <v>48</v>
      </c>
      <c r="K557" s="8">
        <v>74698.17</v>
      </c>
      <c r="L557" s="8">
        <v>17352.07</v>
      </c>
      <c r="M557" s="8">
        <v>92050.240000000005</v>
      </c>
      <c r="N557" s="8">
        <v>13570.92</v>
      </c>
      <c r="O557" s="7">
        <v>304369.67</v>
      </c>
      <c r="P557" s="3" t="s">
        <v>0</v>
      </c>
      <c r="Q557" s="3" t="s">
        <v>6</v>
      </c>
    </row>
    <row r="558" spans="1:17" x14ac:dyDescent="0.25">
      <c r="A558" s="3" t="s">
        <v>2704</v>
      </c>
      <c r="B558" s="3" t="s">
        <v>2705</v>
      </c>
      <c r="C558" s="3" t="s">
        <v>120</v>
      </c>
      <c r="D558" s="3" t="s">
        <v>2706</v>
      </c>
      <c r="E558" s="3" t="s">
        <v>2707</v>
      </c>
      <c r="F558" s="3" t="s">
        <v>2708</v>
      </c>
      <c r="G558" s="15">
        <v>46133</v>
      </c>
      <c r="H558" s="16">
        <f t="shared" si="16"/>
        <v>1411</v>
      </c>
      <c r="I558" s="16" t="str">
        <f t="shared" si="17"/>
        <v>Maior 365 dias</v>
      </c>
      <c r="J558" s="11">
        <v>51</v>
      </c>
      <c r="K558" s="8">
        <v>76333.05</v>
      </c>
      <c r="L558" s="8">
        <v>19435.939999999999</v>
      </c>
      <c r="M558" s="8">
        <v>95768.99</v>
      </c>
      <c r="N558" s="8">
        <v>33755.72</v>
      </c>
      <c r="O558" s="7">
        <v>271616.32</v>
      </c>
      <c r="P558" s="3" t="s">
        <v>0</v>
      </c>
      <c r="Q558" s="3" t="s">
        <v>6</v>
      </c>
    </row>
    <row r="559" spans="1:17" x14ac:dyDescent="0.25">
      <c r="A559" s="3" t="s">
        <v>588</v>
      </c>
      <c r="B559" s="3" t="s">
        <v>2709</v>
      </c>
      <c r="C559" s="3" t="s">
        <v>37</v>
      </c>
      <c r="D559" s="3" t="s">
        <v>2710</v>
      </c>
      <c r="E559" s="3" t="s">
        <v>2711</v>
      </c>
      <c r="F559" s="3" t="s">
        <v>2667</v>
      </c>
      <c r="G559" s="15">
        <v>46133</v>
      </c>
      <c r="H559" s="16">
        <f t="shared" si="16"/>
        <v>731</v>
      </c>
      <c r="I559" s="16" t="str">
        <f t="shared" si="17"/>
        <v>Maior 365 dias</v>
      </c>
      <c r="J559" s="11">
        <v>25</v>
      </c>
      <c r="K559" s="8">
        <v>13464.09</v>
      </c>
      <c r="L559" s="5">
        <v>1938.58</v>
      </c>
      <c r="M559" s="8">
        <v>15402.67</v>
      </c>
      <c r="N559" s="10">
        <v>0</v>
      </c>
      <c r="O559" s="7">
        <v>130701.44</v>
      </c>
      <c r="P559" s="3" t="s">
        <v>0</v>
      </c>
      <c r="Q559" s="3" t="s">
        <v>7</v>
      </c>
    </row>
    <row r="560" spans="1:17" x14ac:dyDescent="0.25">
      <c r="A560" s="3" t="s">
        <v>1895</v>
      </c>
      <c r="B560" s="3" t="s">
        <v>2712</v>
      </c>
      <c r="C560" s="3" t="s">
        <v>120</v>
      </c>
      <c r="D560" s="3" t="s">
        <v>2713</v>
      </c>
      <c r="E560" s="3" t="s">
        <v>901</v>
      </c>
      <c r="F560" s="3" t="s">
        <v>2714</v>
      </c>
      <c r="G560" s="15">
        <v>46133</v>
      </c>
      <c r="H560" s="16">
        <f t="shared" si="16"/>
        <v>1258</v>
      </c>
      <c r="I560" s="16" t="str">
        <f t="shared" si="17"/>
        <v>Maior 365 dias</v>
      </c>
      <c r="J560" s="11">
        <v>50</v>
      </c>
      <c r="K560" s="8">
        <v>90380.2</v>
      </c>
      <c r="L560" s="8">
        <v>23600.75</v>
      </c>
      <c r="M560" s="7">
        <v>113980.95</v>
      </c>
      <c r="N560" s="8">
        <v>22403.86</v>
      </c>
      <c r="O560" s="7">
        <v>296643.03999999998</v>
      </c>
      <c r="P560" s="3" t="s">
        <v>0</v>
      </c>
      <c r="Q560" s="3" t="s">
        <v>7</v>
      </c>
    </row>
    <row r="561" spans="1:17" x14ac:dyDescent="0.25">
      <c r="A561" s="3" t="s">
        <v>2715</v>
      </c>
      <c r="B561" s="3" t="s">
        <v>2712</v>
      </c>
      <c r="C561" s="3" t="s">
        <v>120</v>
      </c>
      <c r="D561" s="3" t="s">
        <v>2716</v>
      </c>
      <c r="E561" s="3" t="s">
        <v>901</v>
      </c>
      <c r="F561" s="3" t="s">
        <v>2717</v>
      </c>
      <c r="G561" s="15">
        <v>46133</v>
      </c>
      <c r="H561" s="16">
        <f t="shared" si="16"/>
        <v>1623</v>
      </c>
      <c r="I561" s="16" t="str">
        <f t="shared" si="17"/>
        <v>Maior 365 dias</v>
      </c>
      <c r="J561" s="11">
        <v>55</v>
      </c>
      <c r="K561" s="8">
        <v>83149.8</v>
      </c>
      <c r="L561" s="8">
        <v>23135.33</v>
      </c>
      <c r="M561" s="7">
        <v>106285.13</v>
      </c>
      <c r="N561" s="8">
        <v>21099.79</v>
      </c>
      <c r="O561" s="7">
        <v>293742.48</v>
      </c>
      <c r="P561" s="3" t="s">
        <v>0</v>
      </c>
      <c r="Q561" s="3" t="s">
        <v>7</v>
      </c>
    </row>
    <row r="562" spans="1:17" x14ac:dyDescent="0.25">
      <c r="A562" s="3" t="s">
        <v>2718</v>
      </c>
      <c r="B562" s="3" t="s">
        <v>2719</v>
      </c>
      <c r="C562" s="3" t="s">
        <v>128</v>
      </c>
      <c r="D562" s="3" t="s">
        <v>2720</v>
      </c>
      <c r="E562" s="3" t="s">
        <v>2126</v>
      </c>
      <c r="F562" s="3" t="s">
        <v>2721</v>
      </c>
      <c r="G562" s="15">
        <v>46133</v>
      </c>
      <c r="H562" s="16">
        <f t="shared" si="16"/>
        <v>1046</v>
      </c>
      <c r="I562" s="16" t="str">
        <f t="shared" si="17"/>
        <v>Maior 365 dias</v>
      </c>
      <c r="J562" s="11">
        <v>38</v>
      </c>
      <c r="K562" s="8">
        <v>72978.67</v>
      </c>
      <c r="L562" s="8">
        <v>13896.42</v>
      </c>
      <c r="M562" s="8">
        <v>86875.09</v>
      </c>
      <c r="N562" s="8">
        <v>47122.879999999997</v>
      </c>
      <c r="O562" s="7">
        <v>342615.72</v>
      </c>
      <c r="P562" s="3" t="s">
        <v>0</v>
      </c>
      <c r="Q562" s="3" t="s">
        <v>7</v>
      </c>
    </row>
    <row r="563" spans="1:17" x14ac:dyDescent="0.25">
      <c r="A563" s="3" t="s">
        <v>2722</v>
      </c>
      <c r="B563" s="3" t="s">
        <v>2723</v>
      </c>
      <c r="C563" s="3" t="s">
        <v>120</v>
      </c>
      <c r="D563" s="3" t="s">
        <v>2724</v>
      </c>
      <c r="E563" s="3" t="s">
        <v>2725</v>
      </c>
      <c r="F563" s="3" t="s">
        <v>2726</v>
      </c>
      <c r="G563" s="15">
        <v>46133</v>
      </c>
      <c r="H563" s="16">
        <f t="shared" si="16"/>
        <v>1289</v>
      </c>
      <c r="I563" s="16" t="str">
        <f t="shared" si="17"/>
        <v>Maior 365 dias</v>
      </c>
      <c r="J563" s="11">
        <v>45</v>
      </c>
      <c r="K563" s="8">
        <v>56876.85</v>
      </c>
      <c r="L563" s="8">
        <v>12939.19</v>
      </c>
      <c r="M563" s="8">
        <v>69816.039999999994</v>
      </c>
      <c r="N563" s="8">
        <v>31230.7</v>
      </c>
      <c r="O563" s="7">
        <v>217629.53</v>
      </c>
      <c r="P563" s="3" t="s">
        <v>0</v>
      </c>
      <c r="Q563" s="3" t="s">
        <v>7</v>
      </c>
    </row>
    <row r="564" spans="1:17" x14ac:dyDescent="0.25">
      <c r="A564" s="3" t="s">
        <v>2727</v>
      </c>
      <c r="B564" s="3" t="s">
        <v>2728</v>
      </c>
      <c r="C564" s="3" t="s">
        <v>128</v>
      </c>
      <c r="D564" s="3" t="s">
        <v>2729</v>
      </c>
      <c r="E564" s="3" t="s">
        <v>861</v>
      </c>
      <c r="F564" s="3" t="s">
        <v>2730</v>
      </c>
      <c r="G564" s="15">
        <v>46133</v>
      </c>
      <c r="H564" s="16">
        <f t="shared" si="16"/>
        <v>1542</v>
      </c>
      <c r="I564" s="16" t="str">
        <f t="shared" si="17"/>
        <v>Maior 365 dias</v>
      </c>
      <c r="J564" s="11">
        <v>51</v>
      </c>
      <c r="K564" s="8">
        <v>89994.29</v>
      </c>
      <c r="L564" s="8">
        <v>24518.58</v>
      </c>
      <c r="M564" s="7">
        <v>114512.87</v>
      </c>
      <c r="N564" s="8">
        <v>61761.59</v>
      </c>
      <c r="O564" s="7">
        <v>381398.89</v>
      </c>
      <c r="P564" s="3" t="s">
        <v>0</v>
      </c>
      <c r="Q564" s="3" t="s">
        <v>7</v>
      </c>
    </row>
    <row r="565" spans="1:17" x14ac:dyDescent="0.25">
      <c r="A565" s="3" t="s">
        <v>1951</v>
      </c>
      <c r="B565" s="3" t="s">
        <v>2731</v>
      </c>
      <c r="C565" s="3" t="s">
        <v>349</v>
      </c>
      <c r="D565" s="3" t="s">
        <v>2732</v>
      </c>
      <c r="E565" s="3" t="s">
        <v>626</v>
      </c>
      <c r="F565" s="3" t="s">
        <v>2733</v>
      </c>
      <c r="G565" s="15">
        <v>46133</v>
      </c>
      <c r="H565" s="16">
        <f t="shared" si="16"/>
        <v>1472</v>
      </c>
      <c r="I565" s="16" t="str">
        <f t="shared" si="17"/>
        <v>Maior 365 dias</v>
      </c>
      <c r="J565" s="11">
        <v>53</v>
      </c>
      <c r="K565" s="7">
        <v>108848.93</v>
      </c>
      <c r="L565" s="8">
        <v>29423.26</v>
      </c>
      <c r="M565" s="7">
        <v>138272.19</v>
      </c>
      <c r="N565" s="8">
        <v>25234.93</v>
      </c>
      <c r="O565" s="7">
        <v>388492.23</v>
      </c>
      <c r="P565" s="3" t="s">
        <v>0</v>
      </c>
      <c r="Q565" s="3" t="s">
        <v>7</v>
      </c>
    </row>
    <row r="566" spans="1:17" x14ac:dyDescent="0.25">
      <c r="A566" s="3" t="s">
        <v>2734</v>
      </c>
      <c r="B566" s="3" t="s">
        <v>2735</v>
      </c>
      <c r="C566" s="3" t="s">
        <v>25</v>
      </c>
      <c r="D566" s="3" t="s">
        <v>2736</v>
      </c>
      <c r="E566" s="3" t="s">
        <v>2737</v>
      </c>
      <c r="F566" s="3" t="s">
        <v>2738</v>
      </c>
      <c r="G566" s="15">
        <v>46133</v>
      </c>
      <c r="H566" s="16">
        <f t="shared" si="16"/>
        <v>1482</v>
      </c>
      <c r="I566" s="16" t="str">
        <f t="shared" si="17"/>
        <v>Maior 365 dias</v>
      </c>
      <c r="J566" s="11">
        <v>47</v>
      </c>
      <c r="K566" s="8">
        <v>52555.32</v>
      </c>
      <c r="L566" s="8">
        <v>14973.61</v>
      </c>
      <c r="M566" s="8">
        <v>67528.929999999993</v>
      </c>
      <c r="N566" s="8">
        <v>23284.23</v>
      </c>
      <c r="O566" s="7">
        <v>234485.58</v>
      </c>
      <c r="P566" s="3" t="s">
        <v>0</v>
      </c>
      <c r="Q566" s="3" t="s">
        <v>7</v>
      </c>
    </row>
    <row r="567" spans="1:17" x14ac:dyDescent="0.25">
      <c r="A567" s="3" t="s">
        <v>2739</v>
      </c>
      <c r="B567" s="3" t="s">
        <v>2740</v>
      </c>
      <c r="C567" s="3" t="s">
        <v>349</v>
      </c>
      <c r="D567" s="3" t="s">
        <v>2741</v>
      </c>
      <c r="E567" s="3" t="s">
        <v>562</v>
      </c>
      <c r="F567" s="3" t="s">
        <v>2647</v>
      </c>
      <c r="G567" s="15">
        <v>46133</v>
      </c>
      <c r="H567" s="16">
        <f t="shared" si="16"/>
        <v>1087</v>
      </c>
      <c r="I567" s="16" t="str">
        <f t="shared" si="17"/>
        <v>Maior 365 dias</v>
      </c>
      <c r="J567" s="11">
        <v>35</v>
      </c>
      <c r="K567" s="8">
        <v>54940.89</v>
      </c>
      <c r="L567" s="8">
        <v>10912.25</v>
      </c>
      <c r="M567" s="8">
        <v>65853.14</v>
      </c>
      <c r="N567" s="8">
        <v>30688.14</v>
      </c>
      <c r="O567" s="7">
        <v>258106.47</v>
      </c>
      <c r="P567" s="3" t="s">
        <v>0</v>
      </c>
      <c r="Q567" s="3" t="s">
        <v>7</v>
      </c>
    </row>
    <row r="568" spans="1:17" x14ac:dyDescent="0.25">
      <c r="A568" s="3" t="s">
        <v>2742</v>
      </c>
      <c r="B568" s="3" t="s">
        <v>2743</v>
      </c>
      <c r="C568" s="3" t="s">
        <v>128</v>
      </c>
      <c r="D568" s="3" t="s">
        <v>2744</v>
      </c>
      <c r="E568" s="3" t="s">
        <v>2745</v>
      </c>
      <c r="F568" s="3" t="s">
        <v>1944</v>
      </c>
      <c r="G568" s="15">
        <v>46133</v>
      </c>
      <c r="H568" s="16">
        <f t="shared" si="16"/>
        <v>812</v>
      </c>
      <c r="I568" s="16" t="str">
        <f t="shared" si="17"/>
        <v>Maior 365 dias</v>
      </c>
      <c r="J568" s="11">
        <v>33</v>
      </c>
      <c r="K568" s="8">
        <v>75886.399999999994</v>
      </c>
      <c r="L568" s="8">
        <v>13113.18</v>
      </c>
      <c r="M568" s="8">
        <v>88999.58</v>
      </c>
      <c r="N568" s="8">
        <v>55639.07</v>
      </c>
      <c r="O568" s="7">
        <v>371828.72</v>
      </c>
      <c r="P568" s="3" t="s">
        <v>0</v>
      </c>
      <c r="Q568" s="3" t="s">
        <v>7</v>
      </c>
    </row>
    <row r="569" spans="1:17" x14ac:dyDescent="0.25">
      <c r="A569" s="3" t="s">
        <v>2746</v>
      </c>
      <c r="B569" s="3" t="s">
        <v>2747</v>
      </c>
      <c r="C569" s="3" t="s">
        <v>128</v>
      </c>
      <c r="D569" s="3" t="s">
        <v>2748</v>
      </c>
      <c r="E569" s="3" t="s">
        <v>2749</v>
      </c>
      <c r="F569" s="3" t="s">
        <v>2750</v>
      </c>
      <c r="G569" s="15">
        <v>46133</v>
      </c>
      <c r="H569" s="16">
        <f t="shared" si="16"/>
        <v>1379</v>
      </c>
      <c r="I569" s="16" t="str">
        <f t="shared" si="17"/>
        <v>Maior 365 dias</v>
      </c>
      <c r="J569" s="11">
        <v>50</v>
      </c>
      <c r="K569" s="8">
        <v>96262.63</v>
      </c>
      <c r="L569" s="8">
        <v>22771.75</v>
      </c>
      <c r="M569" s="7">
        <v>119034.38</v>
      </c>
      <c r="N569" s="8">
        <v>29001.58</v>
      </c>
      <c r="O569" s="7">
        <v>403831.03</v>
      </c>
      <c r="P569" s="3" t="s">
        <v>0</v>
      </c>
      <c r="Q569" s="3" t="s">
        <v>7</v>
      </c>
    </row>
    <row r="570" spans="1:17" x14ac:dyDescent="0.25">
      <c r="A570" s="3" t="s">
        <v>2751</v>
      </c>
      <c r="B570" s="3" t="s">
        <v>2752</v>
      </c>
      <c r="C570" s="3" t="s">
        <v>25</v>
      </c>
      <c r="D570" s="3" t="s">
        <v>2753</v>
      </c>
      <c r="E570" s="3" t="s">
        <v>1596</v>
      </c>
      <c r="F570" s="3" t="s">
        <v>2754</v>
      </c>
      <c r="G570" s="15">
        <v>46133</v>
      </c>
      <c r="H570" s="16">
        <f t="shared" si="16"/>
        <v>1274</v>
      </c>
      <c r="I570" s="16" t="str">
        <f t="shared" si="17"/>
        <v>Maior 365 dias</v>
      </c>
      <c r="J570" s="11">
        <v>40</v>
      </c>
      <c r="K570" s="8">
        <v>41121.589999999997</v>
      </c>
      <c r="L570" s="5">
        <v>9540.32</v>
      </c>
      <c r="M570" s="8">
        <v>50661.91</v>
      </c>
      <c r="N570" s="8">
        <v>11399.44</v>
      </c>
      <c r="O570" s="8">
        <v>83623.490000000005</v>
      </c>
      <c r="P570" s="3" t="s">
        <v>0</v>
      </c>
      <c r="Q570" s="3" t="s">
        <v>7</v>
      </c>
    </row>
    <row r="571" spans="1:17" x14ac:dyDescent="0.25">
      <c r="A571" s="3" t="s">
        <v>2755</v>
      </c>
      <c r="B571" s="3" t="s">
        <v>2756</v>
      </c>
      <c r="C571" s="3" t="s">
        <v>128</v>
      </c>
      <c r="D571" s="3" t="s">
        <v>2757</v>
      </c>
      <c r="E571" s="3" t="s">
        <v>2431</v>
      </c>
      <c r="F571" s="3" t="s">
        <v>1576</v>
      </c>
      <c r="G571" s="15">
        <v>46133</v>
      </c>
      <c r="H571" s="16">
        <f t="shared" si="16"/>
        <v>1664</v>
      </c>
      <c r="I571" s="16" t="str">
        <f t="shared" si="17"/>
        <v>Maior 365 dias</v>
      </c>
      <c r="J571" s="11">
        <v>54</v>
      </c>
      <c r="K571" s="7">
        <v>135374.03</v>
      </c>
      <c r="L571" s="8">
        <v>38938.120000000003</v>
      </c>
      <c r="M571" s="7">
        <v>174312.15</v>
      </c>
      <c r="N571" s="8">
        <v>58060.08</v>
      </c>
      <c r="O571" s="7">
        <v>414618.03</v>
      </c>
      <c r="P571" s="3" t="s">
        <v>0</v>
      </c>
      <c r="Q571" s="3" t="s">
        <v>7</v>
      </c>
    </row>
    <row r="572" spans="1:17" x14ac:dyDescent="0.25">
      <c r="A572" s="3" t="s">
        <v>2758</v>
      </c>
      <c r="B572" s="3" t="s">
        <v>2759</v>
      </c>
      <c r="C572" s="3" t="s">
        <v>128</v>
      </c>
      <c r="D572" s="3" t="s">
        <v>2760</v>
      </c>
      <c r="E572" s="3" t="s">
        <v>1607</v>
      </c>
      <c r="F572" s="3" t="s">
        <v>2761</v>
      </c>
      <c r="G572" s="15">
        <v>46133</v>
      </c>
      <c r="H572" s="16">
        <f t="shared" si="16"/>
        <v>1248</v>
      </c>
      <c r="I572" s="16" t="str">
        <f t="shared" si="17"/>
        <v>Maior 365 dias</v>
      </c>
      <c r="J572" s="11">
        <v>54</v>
      </c>
      <c r="K572" s="7">
        <v>149448.91</v>
      </c>
      <c r="L572" s="8">
        <v>34266.68</v>
      </c>
      <c r="M572" s="7">
        <v>183715.59</v>
      </c>
      <c r="N572" s="7">
        <v>111889.59</v>
      </c>
      <c r="O572" s="7">
        <v>195767.63</v>
      </c>
      <c r="P572" s="3" t="s">
        <v>0</v>
      </c>
      <c r="Q572" s="3" t="s">
        <v>7</v>
      </c>
    </row>
    <row r="573" spans="1:17" x14ac:dyDescent="0.25">
      <c r="A573" s="3" t="s">
        <v>2762</v>
      </c>
      <c r="B573" s="3" t="s">
        <v>2763</v>
      </c>
      <c r="C573" s="3" t="s">
        <v>128</v>
      </c>
      <c r="D573" s="3" t="s">
        <v>2764</v>
      </c>
      <c r="E573" s="3" t="s">
        <v>446</v>
      </c>
      <c r="F573" s="3" t="s">
        <v>2765</v>
      </c>
      <c r="G573" s="15">
        <v>46133</v>
      </c>
      <c r="H573" s="16">
        <f t="shared" si="16"/>
        <v>985</v>
      </c>
      <c r="I573" s="16" t="str">
        <f t="shared" si="17"/>
        <v>Maior 365 dias</v>
      </c>
      <c r="J573" s="11">
        <v>36</v>
      </c>
      <c r="K573" s="8">
        <v>43839.81</v>
      </c>
      <c r="L573" s="5">
        <v>8139.43</v>
      </c>
      <c r="M573" s="8">
        <v>51979.24</v>
      </c>
      <c r="N573" s="8">
        <v>16305.14</v>
      </c>
      <c r="O573" s="7">
        <v>360124.85</v>
      </c>
      <c r="P573" s="3" t="s">
        <v>0</v>
      </c>
      <c r="Q573" s="3" t="s">
        <v>7</v>
      </c>
    </row>
    <row r="574" spans="1:17" x14ac:dyDescent="0.25">
      <c r="A574" s="3" t="s">
        <v>2766</v>
      </c>
      <c r="B574" s="3" t="s">
        <v>2767</v>
      </c>
      <c r="C574" s="3" t="s">
        <v>37</v>
      </c>
      <c r="D574" s="3" t="s">
        <v>2768</v>
      </c>
      <c r="E574" s="3" t="s">
        <v>295</v>
      </c>
      <c r="F574" s="3" t="s">
        <v>1395</v>
      </c>
      <c r="G574" s="15">
        <v>46133</v>
      </c>
      <c r="H574" s="16">
        <f t="shared" si="16"/>
        <v>512</v>
      </c>
      <c r="I574" s="16" t="str">
        <f t="shared" si="17"/>
        <v>Maior 365 dias</v>
      </c>
      <c r="J574" s="11">
        <v>17</v>
      </c>
      <c r="K574" s="5">
        <v>9611.15</v>
      </c>
      <c r="L574" s="5">
        <v>1066.6199999999999</v>
      </c>
      <c r="M574" s="8">
        <v>10677.77</v>
      </c>
      <c r="N574" s="8">
        <v>19751.84</v>
      </c>
      <c r="O574" s="7">
        <v>123687.94</v>
      </c>
      <c r="P574" s="3" t="s">
        <v>0</v>
      </c>
      <c r="Q574" s="3" t="s">
        <v>7</v>
      </c>
    </row>
    <row r="575" spans="1:17" x14ac:dyDescent="0.25">
      <c r="A575" s="3" t="s">
        <v>1642</v>
      </c>
      <c r="B575" s="3" t="s">
        <v>2769</v>
      </c>
      <c r="C575" s="3" t="s">
        <v>120</v>
      </c>
      <c r="D575" s="3" t="s">
        <v>2770</v>
      </c>
      <c r="E575" s="3" t="s">
        <v>2771</v>
      </c>
      <c r="F575" s="3" t="s">
        <v>2772</v>
      </c>
      <c r="G575" s="15">
        <v>46133</v>
      </c>
      <c r="H575" s="16">
        <f t="shared" si="16"/>
        <v>1715</v>
      </c>
      <c r="I575" s="16" t="str">
        <f t="shared" si="17"/>
        <v>Maior 365 dias</v>
      </c>
      <c r="J575" s="11">
        <v>61</v>
      </c>
      <c r="K575" s="7">
        <v>111679.84</v>
      </c>
      <c r="L575" s="8">
        <v>32225.95</v>
      </c>
      <c r="M575" s="7">
        <v>143905.79</v>
      </c>
      <c r="N575" s="8">
        <v>33064.699999999997</v>
      </c>
      <c r="O575" s="7">
        <v>364172.24</v>
      </c>
      <c r="P575" s="3" t="s">
        <v>0</v>
      </c>
      <c r="Q575" s="3" t="s">
        <v>7</v>
      </c>
    </row>
    <row r="576" spans="1:17" x14ac:dyDescent="0.25">
      <c r="A576" s="3" t="s">
        <v>2773</v>
      </c>
      <c r="B576" s="3" t="s">
        <v>2774</v>
      </c>
      <c r="C576" s="3" t="s">
        <v>128</v>
      </c>
      <c r="D576" s="3" t="s">
        <v>2775</v>
      </c>
      <c r="E576" s="3" t="s">
        <v>610</v>
      </c>
      <c r="F576" s="3" t="s">
        <v>2776</v>
      </c>
      <c r="G576" s="15">
        <v>46133</v>
      </c>
      <c r="H576" s="16">
        <f t="shared" si="16"/>
        <v>786</v>
      </c>
      <c r="I576" s="16" t="str">
        <f t="shared" si="17"/>
        <v>Maior 365 dias</v>
      </c>
      <c r="J576" s="11">
        <v>28</v>
      </c>
      <c r="K576" s="8">
        <v>41440.050000000003</v>
      </c>
      <c r="L576" s="5">
        <v>6269.11</v>
      </c>
      <c r="M576" s="8">
        <v>47709.16</v>
      </c>
      <c r="N576" s="8">
        <v>35564.01</v>
      </c>
      <c r="O576" s="7">
        <v>276775.73</v>
      </c>
      <c r="P576" s="3" t="s">
        <v>0</v>
      </c>
      <c r="Q576" s="3" t="s">
        <v>7</v>
      </c>
    </row>
    <row r="577" spans="1:17" x14ac:dyDescent="0.25">
      <c r="A577" s="3" t="s">
        <v>1891</v>
      </c>
      <c r="B577" s="3" t="s">
        <v>2777</v>
      </c>
      <c r="C577" s="3" t="s">
        <v>120</v>
      </c>
      <c r="D577" s="3" t="s">
        <v>2778</v>
      </c>
      <c r="E577" s="3" t="s">
        <v>2779</v>
      </c>
      <c r="F577" s="3" t="s">
        <v>2780</v>
      </c>
      <c r="G577" s="15">
        <v>46133</v>
      </c>
      <c r="H577" s="16">
        <f t="shared" si="16"/>
        <v>898</v>
      </c>
      <c r="I577" s="16" t="str">
        <f t="shared" si="17"/>
        <v>Maior 365 dias</v>
      </c>
      <c r="J577" s="11">
        <v>32</v>
      </c>
      <c r="K577" s="8">
        <v>44049.78</v>
      </c>
      <c r="L577" s="5">
        <v>7401.98</v>
      </c>
      <c r="M577" s="8">
        <v>51451.76</v>
      </c>
      <c r="N577" s="8">
        <v>49304.42</v>
      </c>
      <c r="O577" s="7">
        <v>219385.12</v>
      </c>
      <c r="P577" s="3" t="s">
        <v>0</v>
      </c>
      <c r="Q577" s="3" t="s">
        <v>7</v>
      </c>
    </row>
    <row r="578" spans="1:17" x14ac:dyDescent="0.25">
      <c r="A578" s="3" t="s">
        <v>2781</v>
      </c>
      <c r="B578" s="3" t="s">
        <v>2782</v>
      </c>
      <c r="C578" s="3" t="s">
        <v>128</v>
      </c>
      <c r="D578" s="3" t="s">
        <v>2783</v>
      </c>
      <c r="E578" s="3" t="s">
        <v>2784</v>
      </c>
      <c r="F578" s="3" t="s">
        <v>2785</v>
      </c>
      <c r="G578" s="15">
        <v>46133</v>
      </c>
      <c r="H578" s="16">
        <f t="shared" ref="H578:H641" si="18">G578-F578</f>
        <v>1391</v>
      </c>
      <c r="I578" s="16" t="str">
        <f t="shared" ref="I578:I641" si="19">+IF(H578&lt;35,"Adimplente",IF(H578&lt;=60,"35 à 60 dias",IF(H578&lt;=90,"61 à 90 dias",IF(H578&lt;=120,"91 à 120 dias",IF(H578&lt;=180,"121 à 180 dias",IF(H578&lt;=240,"181 à 240 dias",IF(H578&lt;=365,"241 à 365 dias","Maior 365 dias")))))))</f>
        <v>Maior 365 dias</v>
      </c>
      <c r="J578" s="11">
        <v>50</v>
      </c>
      <c r="K578" s="8">
        <v>94464.67</v>
      </c>
      <c r="L578" s="8">
        <v>24554.95</v>
      </c>
      <c r="M578" s="7">
        <v>119019.62</v>
      </c>
      <c r="N578" s="8">
        <v>42645.41</v>
      </c>
      <c r="O578" s="7">
        <v>354405.49</v>
      </c>
      <c r="P578" s="3" t="s">
        <v>0</v>
      </c>
      <c r="Q578" s="3" t="s">
        <v>7</v>
      </c>
    </row>
    <row r="579" spans="1:17" x14ac:dyDescent="0.25">
      <c r="A579" s="3" t="s">
        <v>2786</v>
      </c>
      <c r="B579" s="3" t="s">
        <v>2787</v>
      </c>
      <c r="C579" s="3" t="s">
        <v>128</v>
      </c>
      <c r="D579" s="3" t="s">
        <v>2788</v>
      </c>
      <c r="E579" s="3" t="s">
        <v>2789</v>
      </c>
      <c r="F579" s="3" t="s">
        <v>2686</v>
      </c>
      <c r="G579" s="15">
        <v>46133</v>
      </c>
      <c r="H579" s="16">
        <f t="shared" si="18"/>
        <v>691</v>
      </c>
      <c r="I579" s="16" t="str">
        <f t="shared" si="19"/>
        <v>Maior 365 dias</v>
      </c>
      <c r="J579" s="11">
        <v>30</v>
      </c>
      <c r="K579" s="8">
        <v>31400.14</v>
      </c>
      <c r="L579" s="5">
        <v>5309.87</v>
      </c>
      <c r="M579" s="8">
        <v>36710.01</v>
      </c>
      <c r="N579" s="5">
        <v>6063.31</v>
      </c>
      <c r="O579" s="7">
        <v>291298.03999999998</v>
      </c>
      <c r="P579" s="3" t="s">
        <v>0</v>
      </c>
      <c r="Q579" s="3" t="s">
        <v>7</v>
      </c>
    </row>
    <row r="580" spans="1:17" x14ac:dyDescent="0.25">
      <c r="A580" s="3" t="s">
        <v>2790</v>
      </c>
      <c r="B580" s="3" t="s">
        <v>2791</v>
      </c>
      <c r="C580" s="3" t="s">
        <v>94</v>
      </c>
      <c r="D580" s="3" t="s">
        <v>2792</v>
      </c>
      <c r="E580" s="3" t="s">
        <v>1939</v>
      </c>
      <c r="F580" s="3" t="s">
        <v>2793</v>
      </c>
      <c r="G580" s="15">
        <v>46133</v>
      </c>
      <c r="H580" s="16">
        <f t="shared" si="18"/>
        <v>873</v>
      </c>
      <c r="I580" s="16" t="str">
        <f t="shared" si="19"/>
        <v>Maior 365 dias</v>
      </c>
      <c r="J580" s="11">
        <v>47</v>
      </c>
      <c r="K580" s="8">
        <v>60541.2</v>
      </c>
      <c r="L580" s="8">
        <v>13941.58</v>
      </c>
      <c r="M580" s="8">
        <v>74482.78</v>
      </c>
      <c r="N580" s="8">
        <v>15486.87</v>
      </c>
      <c r="O580" s="7">
        <v>192941.81</v>
      </c>
      <c r="P580" s="3" t="s">
        <v>0</v>
      </c>
      <c r="Q580" s="3" t="s">
        <v>7</v>
      </c>
    </row>
    <row r="581" spans="1:17" x14ac:dyDescent="0.25">
      <c r="A581" s="3" t="s">
        <v>2794</v>
      </c>
      <c r="B581" s="3" t="s">
        <v>2795</v>
      </c>
      <c r="C581" s="3" t="s">
        <v>128</v>
      </c>
      <c r="D581" s="3" t="s">
        <v>2796</v>
      </c>
      <c r="E581" s="3" t="s">
        <v>2797</v>
      </c>
      <c r="F581" s="3" t="s">
        <v>2569</v>
      </c>
      <c r="G581" s="15">
        <v>46133</v>
      </c>
      <c r="H581" s="16">
        <f t="shared" si="18"/>
        <v>1001</v>
      </c>
      <c r="I581" s="16" t="str">
        <f t="shared" si="19"/>
        <v>Maior 365 dias</v>
      </c>
      <c r="J581" s="11">
        <v>33</v>
      </c>
      <c r="K581" s="8">
        <v>71859.73</v>
      </c>
      <c r="L581" s="8">
        <v>13521.96</v>
      </c>
      <c r="M581" s="8">
        <v>85381.69</v>
      </c>
      <c r="N581" s="8">
        <v>79097.100000000006</v>
      </c>
      <c r="O581" s="7">
        <v>331320.01</v>
      </c>
      <c r="P581" s="3" t="s">
        <v>0</v>
      </c>
      <c r="Q581" s="3" t="s">
        <v>7</v>
      </c>
    </row>
    <row r="582" spans="1:17" x14ac:dyDescent="0.25">
      <c r="A582" s="3" t="s">
        <v>2798</v>
      </c>
      <c r="B582" s="3" t="s">
        <v>2799</v>
      </c>
      <c r="C582" s="3" t="s">
        <v>37</v>
      </c>
      <c r="D582" s="3" t="s">
        <v>2800</v>
      </c>
      <c r="E582" s="3" t="s">
        <v>295</v>
      </c>
      <c r="F582" s="3" t="s">
        <v>2801</v>
      </c>
      <c r="G582" s="15">
        <v>46133</v>
      </c>
      <c r="H582" s="16">
        <f t="shared" si="18"/>
        <v>1187</v>
      </c>
      <c r="I582" s="16" t="str">
        <f t="shared" si="19"/>
        <v>Maior 365 dias</v>
      </c>
      <c r="J582" s="11">
        <v>40</v>
      </c>
      <c r="K582" s="8">
        <v>42302.43</v>
      </c>
      <c r="L582" s="5">
        <v>9397.4500000000007</v>
      </c>
      <c r="M582" s="8">
        <v>51699.88</v>
      </c>
      <c r="N582" s="5">
        <v>9784.68</v>
      </c>
      <c r="O582" s="8">
        <v>84617.23</v>
      </c>
      <c r="P582" s="3" t="s">
        <v>0</v>
      </c>
      <c r="Q582" s="3" t="s">
        <v>7</v>
      </c>
    </row>
    <row r="583" spans="1:17" x14ac:dyDescent="0.25">
      <c r="A583" s="3" t="s">
        <v>2802</v>
      </c>
      <c r="B583" s="3" t="s">
        <v>2803</v>
      </c>
      <c r="C583" s="3" t="s">
        <v>37</v>
      </c>
      <c r="D583" s="3" t="s">
        <v>2804</v>
      </c>
      <c r="E583" s="3" t="s">
        <v>295</v>
      </c>
      <c r="F583" s="3" t="s">
        <v>1103</v>
      </c>
      <c r="G583" s="15">
        <v>46133</v>
      </c>
      <c r="H583" s="16">
        <f t="shared" si="18"/>
        <v>588</v>
      </c>
      <c r="I583" s="16" t="str">
        <f t="shared" si="19"/>
        <v>Maior 365 dias</v>
      </c>
      <c r="J583" s="11">
        <v>49</v>
      </c>
      <c r="K583" s="8">
        <v>27550.59</v>
      </c>
      <c r="L583" s="5">
        <v>3876.16</v>
      </c>
      <c r="M583" s="8">
        <v>31426.75</v>
      </c>
      <c r="N583" s="5">
        <v>7231.2</v>
      </c>
      <c r="O583" s="7">
        <v>141048.31</v>
      </c>
      <c r="P583" s="3" t="s">
        <v>0</v>
      </c>
      <c r="Q583" s="3" t="s">
        <v>7</v>
      </c>
    </row>
    <row r="584" spans="1:17" x14ac:dyDescent="0.25">
      <c r="A584" s="3" t="s">
        <v>23</v>
      </c>
      <c r="B584" s="3" t="s">
        <v>24</v>
      </c>
      <c r="C584" s="3" t="s">
        <v>25</v>
      </c>
      <c r="D584" s="3" t="s">
        <v>26</v>
      </c>
      <c r="E584" s="3" t="s">
        <v>27</v>
      </c>
      <c r="F584" s="3" t="s">
        <v>28</v>
      </c>
      <c r="G584" s="15">
        <v>46133</v>
      </c>
      <c r="H584" s="16">
        <f t="shared" si="18"/>
        <v>122</v>
      </c>
      <c r="I584" s="16" t="str">
        <f t="shared" si="19"/>
        <v>121 à 180 dias</v>
      </c>
      <c r="J584" s="4">
        <v>6</v>
      </c>
      <c r="K584" s="5">
        <v>6487.78</v>
      </c>
      <c r="L584" s="6">
        <v>248.42</v>
      </c>
      <c r="M584" s="5">
        <v>6736.2</v>
      </c>
      <c r="N584" s="8">
        <v>15854.9</v>
      </c>
      <c r="O584" s="7">
        <v>111310.96</v>
      </c>
      <c r="P584" s="3" t="s">
        <v>1</v>
      </c>
      <c r="Q584" s="3" t="s">
        <v>2</v>
      </c>
    </row>
    <row r="585" spans="1:17" x14ac:dyDescent="0.25">
      <c r="A585" s="3" t="s">
        <v>29</v>
      </c>
      <c r="B585" s="3" t="s">
        <v>30</v>
      </c>
      <c r="C585" s="3" t="s">
        <v>31</v>
      </c>
      <c r="D585" s="3" t="s">
        <v>32</v>
      </c>
      <c r="E585" s="3" t="s">
        <v>33</v>
      </c>
      <c r="F585" s="3" t="s">
        <v>34</v>
      </c>
      <c r="G585" s="15">
        <v>46133</v>
      </c>
      <c r="H585" s="16">
        <f t="shared" si="18"/>
        <v>178</v>
      </c>
      <c r="I585" s="16" t="str">
        <f t="shared" si="19"/>
        <v>121 à 180 dias</v>
      </c>
      <c r="J585" s="4">
        <v>5</v>
      </c>
      <c r="K585" s="5">
        <v>5000</v>
      </c>
      <c r="L585" s="6">
        <v>283.67</v>
      </c>
      <c r="M585" s="5">
        <v>5283.67</v>
      </c>
      <c r="N585" s="8">
        <v>46822.96</v>
      </c>
      <c r="O585" s="7">
        <v>131840</v>
      </c>
      <c r="P585" s="3" t="s">
        <v>1</v>
      </c>
      <c r="Q585" s="3" t="s">
        <v>2</v>
      </c>
    </row>
    <row r="586" spans="1:17" x14ac:dyDescent="0.25">
      <c r="A586" s="3" t="s">
        <v>35</v>
      </c>
      <c r="B586" s="3" t="s">
        <v>36</v>
      </c>
      <c r="C586" s="3" t="s">
        <v>37</v>
      </c>
      <c r="D586" s="3" t="s">
        <v>38</v>
      </c>
      <c r="E586" s="3" t="s">
        <v>39</v>
      </c>
      <c r="F586" s="3" t="s">
        <v>34</v>
      </c>
      <c r="G586" s="15">
        <v>46133</v>
      </c>
      <c r="H586" s="16">
        <f t="shared" si="18"/>
        <v>178</v>
      </c>
      <c r="I586" s="16" t="str">
        <f t="shared" si="19"/>
        <v>121 à 180 dias</v>
      </c>
      <c r="J586" s="4">
        <v>7</v>
      </c>
      <c r="K586" s="5">
        <v>5867.15</v>
      </c>
      <c r="L586" s="6">
        <v>363.79</v>
      </c>
      <c r="M586" s="5">
        <v>6230.94</v>
      </c>
      <c r="N586" s="10">
        <v>0</v>
      </c>
      <c r="O586" s="7">
        <v>119284.61</v>
      </c>
      <c r="P586" s="3" t="s">
        <v>1</v>
      </c>
      <c r="Q586" s="3" t="s">
        <v>3</v>
      </c>
    </row>
    <row r="587" spans="1:17" x14ac:dyDescent="0.25">
      <c r="A587" s="3" t="s">
        <v>40</v>
      </c>
      <c r="B587" s="3" t="s">
        <v>41</v>
      </c>
      <c r="C587" s="3" t="s">
        <v>37</v>
      </c>
      <c r="D587" s="3" t="s">
        <v>42</v>
      </c>
      <c r="E587" s="3" t="s">
        <v>43</v>
      </c>
      <c r="F587" s="3" t="s">
        <v>44</v>
      </c>
      <c r="G587" s="15">
        <v>46133</v>
      </c>
      <c r="H587" s="16">
        <f t="shared" si="18"/>
        <v>147</v>
      </c>
      <c r="I587" s="16" t="str">
        <f t="shared" si="19"/>
        <v>121 à 180 dias</v>
      </c>
      <c r="J587" s="4">
        <v>5</v>
      </c>
      <c r="K587" s="5">
        <v>3171.05</v>
      </c>
      <c r="L587" s="6">
        <v>156.46</v>
      </c>
      <c r="M587" s="5">
        <v>3327.51</v>
      </c>
      <c r="N587" s="10">
        <v>0</v>
      </c>
      <c r="O587" s="7">
        <v>114157.8</v>
      </c>
      <c r="P587" s="3" t="s">
        <v>1</v>
      </c>
      <c r="Q587" s="3" t="s">
        <v>3</v>
      </c>
    </row>
    <row r="588" spans="1:17" x14ac:dyDescent="0.25">
      <c r="A588" s="3" t="s">
        <v>45</v>
      </c>
      <c r="B588" s="3" t="s">
        <v>46</v>
      </c>
      <c r="C588" s="3" t="s">
        <v>37</v>
      </c>
      <c r="D588" s="3" t="s">
        <v>47</v>
      </c>
      <c r="E588" s="3" t="s">
        <v>34</v>
      </c>
      <c r="F588" s="3" t="s">
        <v>44</v>
      </c>
      <c r="G588" s="15">
        <v>46133</v>
      </c>
      <c r="H588" s="16">
        <f t="shared" si="18"/>
        <v>147</v>
      </c>
      <c r="I588" s="16" t="str">
        <f t="shared" si="19"/>
        <v>121 à 180 dias</v>
      </c>
      <c r="J588" s="4">
        <v>5</v>
      </c>
      <c r="K588" s="5">
        <v>2257.75</v>
      </c>
      <c r="L588" s="6">
        <v>139.22</v>
      </c>
      <c r="M588" s="5">
        <v>2396.9699999999998</v>
      </c>
      <c r="N588" s="10">
        <v>0</v>
      </c>
      <c r="O588" s="7">
        <v>108372</v>
      </c>
      <c r="P588" s="3" t="s">
        <v>1</v>
      </c>
      <c r="Q588" s="3" t="s">
        <v>3</v>
      </c>
    </row>
    <row r="589" spans="1:17" x14ac:dyDescent="0.25">
      <c r="A589" s="3" t="s">
        <v>48</v>
      </c>
      <c r="B589" s="3" t="s">
        <v>49</v>
      </c>
      <c r="C589" s="3" t="s">
        <v>50</v>
      </c>
      <c r="D589" s="3" t="s">
        <v>51</v>
      </c>
      <c r="E589" s="3" t="s">
        <v>52</v>
      </c>
      <c r="F589" s="3" t="s">
        <v>53</v>
      </c>
      <c r="G589" s="15">
        <v>46133</v>
      </c>
      <c r="H589" s="16">
        <f t="shared" si="18"/>
        <v>162</v>
      </c>
      <c r="I589" s="16" t="str">
        <f t="shared" si="19"/>
        <v>121 à 180 dias</v>
      </c>
      <c r="J589" s="4">
        <v>6</v>
      </c>
      <c r="K589" s="5">
        <v>9527.76</v>
      </c>
      <c r="L589" s="6">
        <v>485.89</v>
      </c>
      <c r="M589" s="5">
        <v>10155.02</v>
      </c>
      <c r="N589" s="10">
        <v>0</v>
      </c>
      <c r="O589" s="7">
        <v>190555.2</v>
      </c>
      <c r="P589" s="3" t="s">
        <v>1</v>
      </c>
      <c r="Q589" s="3" t="s">
        <v>3</v>
      </c>
    </row>
    <row r="590" spans="1:17" x14ac:dyDescent="0.25">
      <c r="A590" s="3" t="s">
        <v>54</v>
      </c>
      <c r="B590" s="3" t="s">
        <v>55</v>
      </c>
      <c r="C590" s="3" t="s">
        <v>37</v>
      </c>
      <c r="D590" s="3" t="s">
        <v>56</v>
      </c>
      <c r="E590" s="3" t="s">
        <v>57</v>
      </c>
      <c r="F590" s="3" t="s">
        <v>34</v>
      </c>
      <c r="G590" s="15">
        <v>46133</v>
      </c>
      <c r="H590" s="16">
        <f t="shared" si="18"/>
        <v>178</v>
      </c>
      <c r="I590" s="16" t="str">
        <f t="shared" si="19"/>
        <v>121 à 180 dias</v>
      </c>
      <c r="J590" s="4">
        <v>6</v>
      </c>
      <c r="K590" s="5">
        <v>2709.3</v>
      </c>
      <c r="L590" s="6">
        <v>185.06</v>
      </c>
      <c r="M590" s="5">
        <v>2894.36</v>
      </c>
      <c r="N590" s="10">
        <v>0</v>
      </c>
      <c r="O590" s="7">
        <v>108372</v>
      </c>
      <c r="P590" s="3" t="s">
        <v>1</v>
      </c>
      <c r="Q590" s="3" t="s">
        <v>3</v>
      </c>
    </row>
    <row r="591" spans="1:17" x14ac:dyDescent="0.25">
      <c r="A591" s="3" t="s">
        <v>58</v>
      </c>
      <c r="B591" s="3" t="s">
        <v>59</v>
      </c>
      <c r="C591" s="3" t="s">
        <v>37</v>
      </c>
      <c r="D591" s="3" t="s">
        <v>60</v>
      </c>
      <c r="E591" s="3" t="s">
        <v>61</v>
      </c>
      <c r="F591" s="3" t="s">
        <v>62</v>
      </c>
      <c r="G591" s="15">
        <v>46133</v>
      </c>
      <c r="H591" s="16">
        <f t="shared" si="18"/>
        <v>137</v>
      </c>
      <c r="I591" s="16" t="str">
        <f t="shared" si="19"/>
        <v>121 à 180 dias</v>
      </c>
      <c r="J591" s="4">
        <v>5</v>
      </c>
      <c r="K591" s="5">
        <v>3171.05</v>
      </c>
      <c r="L591" s="6">
        <v>145.44</v>
      </c>
      <c r="M591" s="5">
        <v>3316.49</v>
      </c>
      <c r="N591" s="10">
        <v>0</v>
      </c>
      <c r="O591" s="7">
        <v>114157.8</v>
      </c>
      <c r="P591" s="3" t="s">
        <v>1</v>
      </c>
      <c r="Q591" s="3" t="s">
        <v>3</v>
      </c>
    </row>
    <row r="592" spans="1:17" x14ac:dyDescent="0.25">
      <c r="A592" s="3" t="s">
        <v>63</v>
      </c>
      <c r="B592" s="3" t="s">
        <v>64</v>
      </c>
      <c r="C592" s="3" t="s">
        <v>50</v>
      </c>
      <c r="D592" s="3" t="s">
        <v>65</v>
      </c>
      <c r="E592" s="3" t="s">
        <v>66</v>
      </c>
      <c r="F592" s="3" t="s">
        <v>34</v>
      </c>
      <c r="G592" s="15">
        <v>46133</v>
      </c>
      <c r="H592" s="16">
        <f t="shared" si="18"/>
        <v>178</v>
      </c>
      <c r="I592" s="16" t="str">
        <f t="shared" si="19"/>
        <v>121 à 180 dias</v>
      </c>
      <c r="J592" s="4">
        <v>6</v>
      </c>
      <c r="K592" s="5">
        <v>7465.68</v>
      </c>
      <c r="L592" s="6">
        <v>407.49</v>
      </c>
      <c r="M592" s="5">
        <v>8043.18</v>
      </c>
      <c r="N592" s="10">
        <v>0</v>
      </c>
      <c r="O592" s="7">
        <v>298627.20000000001</v>
      </c>
      <c r="P592" s="3" t="s">
        <v>1</v>
      </c>
      <c r="Q592" s="3" t="s">
        <v>3</v>
      </c>
    </row>
    <row r="593" spans="1:17" x14ac:dyDescent="0.25">
      <c r="A593" s="3" t="s">
        <v>67</v>
      </c>
      <c r="B593" s="3" t="s">
        <v>68</v>
      </c>
      <c r="C593" s="3" t="s">
        <v>37</v>
      </c>
      <c r="D593" s="3" t="s">
        <v>69</v>
      </c>
      <c r="E593" s="3" t="s">
        <v>70</v>
      </c>
      <c r="F593" s="3" t="s">
        <v>34</v>
      </c>
      <c r="G593" s="15">
        <v>46133</v>
      </c>
      <c r="H593" s="16">
        <f t="shared" si="18"/>
        <v>178</v>
      </c>
      <c r="I593" s="16" t="str">
        <f t="shared" si="19"/>
        <v>121 à 180 dias</v>
      </c>
      <c r="J593" s="4">
        <v>6</v>
      </c>
      <c r="K593" s="5">
        <v>3567.48</v>
      </c>
      <c r="L593" s="6">
        <v>194.26</v>
      </c>
      <c r="M593" s="5">
        <v>3761.74</v>
      </c>
      <c r="N593" s="10">
        <v>0</v>
      </c>
      <c r="O593" s="7">
        <v>111087.3</v>
      </c>
      <c r="P593" s="3" t="s">
        <v>1</v>
      </c>
      <c r="Q593" s="3" t="s">
        <v>3</v>
      </c>
    </row>
    <row r="594" spans="1:17" x14ac:dyDescent="0.25">
      <c r="A594" s="3" t="s">
        <v>71</v>
      </c>
      <c r="B594" s="3" t="s">
        <v>72</v>
      </c>
      <c r="C594" s="3" t="s">
        <v>50</v>
      </c>
      <c r="D594" s="3" t="s">
        <v>73</v>
      </c>
      <c r="E594" s="3" t="s">
        <v>74</v>
      </c>
      <c r="F594" s="3" t="s">
        <v>75</v>
      </c>
      <c r="G594" s="15">
        <v>46133</v>
      </c>
      <c r="H594" s="16">
        <f t="shared" si="18"/>
        <v>157</v>
      </c>
      <c r="I594" s="16" t="str">
        <f t="shared" si="19"/>
        <v>121 à 180 dias</v>
      </c>
      <c r="J594" s="4">
        <v>6</v>
      </c>
      <c r="K594" s="5">
        <v>8664.9</v>
      </c>
      <c r="L594" s="6">
        <v>418.16</v>
      </c>
      <c r="M594" s="5">
        <v>9228.15</v>
      </c>
      <c r="N594" s="10">
        <v>0</v>
      </c>
      <c r="O594" s="7">
        <v>207957.6</v>
      </c>
      <c r="P594" s="3" t="s">
        <v>1</v>
      </c>
      <c r="Q594" s="3" t="s">
        <v>3</v>
      </c>
    </row>
    <row r="595" spans="1:17" x14ac:dyDescent="0.25">
      <c r="A595" s="3" t="s">
        <v>76</v>
      </c>
      <c r="B595" s="3" t="s">
        <v>77</v>
      </c>
      <c r="C595" s="3" t="s">
        <v>50</v>
      </c>
      <c r="D595" s="3" t="s">
        <v>78</v>
      </c>
      <c r="E595" s="3" t="s">
        <v>79</v>
      </c>
      <c r="F595" s="3" t="s">
        <v>62</v>
      </c>
      <c r="G595" s="15">
        <v>46133</v>
      </c>
      <c r="H595" s="16">
        <f t="shared" si="18"/>
        <v>137</v>
      </c>
      <c r="I595" s="16" t="str">
        <f t="shared" si="19"/>
        <v>121 à 180 dias</v>
      </c>
      <c r="J595" s="11">
        <v>10</v>
      </c>
      <c r="K595" s="8">
        <v>34771.72</v>
      </c>
      <c r="L595" s="5">
        <v>1534.57</v>
      </c>
      <c r="M595" s="5">
        <v>36551.81</v>
      </c>
      <c r="N595" s="5">
        <v>4227.51</v>
      </c>
      <c r="O595" s="7">
        <v>192188.79999999999</v>
      </c>
      <c r="P595" s="3" t="s">
        <v>1</v>
      </c>
      <c r="Q595" s="3" t="s">
        <v>3</v>
      </c>
    </row>
    <row r="596" spans="1:17" x14ac:dyDescent="0.25">
      <c r="A596" s="3" t="s">
        <v>80</v>
      </c>
      <c r="B596" s="3" t="s">
        <v>81</v>
      </c>
      <c r="C596" s="3" t="s">
        <v>37</v>
      </c>
      <c r="D596" s="3" t="s">
        <v>82</v>
      </c>
      <c r="E596" s="3" t="s">
        <v>83</v>
      </c>
      <c r="F596" s="3" t="s">
        <v>84</v>
      </c>
      <c r="G596" s="15">
        <v>46133</v>
      </c>
      <c r="H596" s="16">
        <f t="shared" si="18"/>
        <v>172</v>
      </c>
      <c r="I596" s="16" t="str">
        <f t="shared" si="19"/>
        <v>121 à 180 dias</v>
      </c>
      <c r="J596" s="11">
        <v>16</v>
      </c>
      <c r="K596" s="5">
        <v>6775.65</v>
      </c>
      <c r="L596" s="6">
        <v>358.01</v>
      </c>
      <c r="M596" s="5">
        <v>7133.66</v>
      </c>
      <c r="N596" s="6">
        <v>539.55999999999995</v>
      </c>
      <c r="O596" s="7">
        <v>127846.1</v>
      </c>
      <c r="P596" s="3" t="s">
        <v>1</v>
      </c>
      <c r="Q596" s="3" t="s">
        <v>3</v>
      </c>
    </row>
    <row r="597" spans="1:17" x14ac:dyDescent="0.25">
      <c r="A597" s="3" t="s">
        <v>85</v>
      </c>
      <c r="B597" s="3" t="s">
        <v>86</v>
      </c>
      <c r="C597" s="3" t="s">
        <v>37</v>
      </c>
      <c r="D597" s="3" t="s">
        <v>87</v>
      </c>
      <c r="E597" s="3" t="s">
        <v>57</v>
      </c>
      <c r="F597" s="3" t="s">
        <v>34</v>
      </c>
      <c r="G597" s="15">
        <v>46133</v>
      </c>
      <c r="H597" s="16">
        <f t="shared" si="18"/>
        <v>178</v>
      </c>
      <c r="I597" s="16" t="str">
        <f t="shared" si="19"/>
        <v>121 à 180 dias</v>
      </c>
      <c r="J597" s="4">
        <v>6</v>
      </c>
      <c r="K597" s="5">
        <v>3099.72</v>
      </c>
      <c r="L597" s="6">
        <v>211.74</v>
      </c>
      <c r="M597" s="5">
        <v>3311.46</v>
      </c>
      <c r="N597" s="10">
        <v>0</v>
      </c>
      <c r="O597" s="8">
        <v>92991.6</v>
      </c>
      <c r="P597" s="3" t="s">
        <v>1</v>
      </c>
      <c r="Q597" s="3" t="s">
        <v>3</v>
      </c>
    </row>
    <row r="598" spans="1:17" x14ac:dyDescent="0.25">
      <c r="A598" s="3" t="s">
        <v>88</v>
      </c>
      <c r="B598" s="3" t="s">
        <v>89</v>
      </c>
      <c r="C598" s="3" t="s">
        <v>50</v>
      </c>
      <c r="D598" s="3" t="s">
        <v>90</v>
      </c>
      <c r="E598" s="3" t="s">
        <v>91</v>
      </c>
      <c r="F598" s="3" t="s">
        <v>44</v>
      </c>
      <c r="G598" s="15">
        <v>46133</v>
      </c>
      <c r="H598" s="16">
        <f t="shared" si="18"/>
        <v>147</v>
      </c>
      <c r="I598" s="16" t="str">
        <f t="shared" si="19"/>
        <v>121 à 180 dias</v>
      </c>
      <c r="J598" s="4">
        <v>5</v>
      </c>
      <c r="K598" s="5">
        <v>5892.3</v>
      </c>
      <c r="L598" s="6">
        <v>366.6</v>
      </c>
      <c r="M598" s="5">
        <v>6393.79</v>
      </c>
      <c r="N598" s="10">
        <v>0</v>
      </c>
      <c r="O598" s="7">
        <v>282830.40000000002</v>
      </c>
      <c r="P598" s="3" t="s">
        <v>1</v>
      </c>
      <c r="Q598" s="3" t="s">
        <v>3</v>
      </c>
    </row>
    <row r="599" spans="1:17" x14ac:dyDescent="0.25">
      <c r="A599" s="3" t="s">
        <v>92</v>
      </c>
      <c r="B599" s="3" t="s">
        <v>93</v>
      </c>
      <c r="C599" s="3" t="s">
        <v>94</v>
      </c>
      <c r="D599" s="3" t="s">
        <v>95</v>
      </c>
      <c r="E599" s="3" t="s">
        <v>96</v>
      </c>
      <c r="F599" s="3" t="s">
        <v>44</v>
      </c>
      <c r="G599" s="15">
        <v>46133</v>
      </c>
      <c r="H599" s="16">
        <f t="shared" si="18"/>
        <v>147</v>
      </c>
      <c r="I599" s="16" t="str">
        <f t="shared" si="19"/>
        <v>121 à 180 dias</v>
      </c>
      <c r="J599" s="4">
        <v>5</v>
      </c>
      <c r="K599" s="5">
        <v>3468.8</v>
      </c>
      <c r="L599" s="6">
        <v>213.9</v>
      </c>
      <c r="M599" s="5">
        <v>3682.7</v>
      </c>
      <c r="N599" s="10">
        <v>0</v>
      </c>
      <c r="O599" s="7">
        <v>166502.39999999999</v>
      </c>
      <c r="P599" s="3" t="s">
        <v>1</v>
      </c>
      <c r="Q599" s="3" t="s">
        <v>3</v>
      </c>
    </row>
    <row r="600" spans="1:17" x14ac:dyDescent="0.25">
      <c r="A600" s="3" t="s">
        <v>97</v>
      </c>
      <c r="B600" s="3" t="s">
        <v>93</v>
      </c>
      <c r="C600" s="3" t="s">
        <v>94</v>
      </c>
      <c r="D600" s="3" t="s">
        <v>98</v>
      </c>
      <c r="E600" s="3" t="s">
        <v>96</v>
      </c>
      <c r="F600" s="3" t="s">
        <v>44</v>
      </c>
      <c r="G600" s="15">
        <v>46133</v>
      </c>
      <c r="H600" s="16">
        <f t="shared" si="18"/>
        <v>147</v>
      </c>
      <c r="I600" s="16" t="str">
        <f t="shared" si="19"/>
        <v>121 à 180 dias</v>
      </c>
      <c r="J600" s="4">
        <v>5</v>
      </c>
      <c r="K600" s="5">
        <v>3468.8</v>
      </c>
      <c r="L600" s="6">
        <v>213.9</v>
      </c>
      <c r="M600" s="5">
        <v>3682.7</v>
      </c>
      <c r="N600" s="10">
        <v>0</v>
      </c>
      <c r="O600" s="7">
        <v>166502.39999999999</v>
      </c>
      <c r="P600" s="3" t="s">
        <v>1</v>
      </c>
      <c r="Q600" s="3" t="s">
        <v>3</v>
      </c>
    </row>
    <row r="601" spans="1:17" x14ac:dyDescent="0.25">
      <c r="A601" s="3" t="s">
        <v>99</v>
      </c>
      <c r="B601" s="3" t="s">
        <v>100</v>
      </c>
      <c r="C601" s="3" t="s">
        <v>50</v>
      </c>
      <c r="D601" s="3" t="s">
        <v>101</v>
      </c>
      <c r="E601" s="3" t="s">
        <v>102</v>
      </c>
      <c r="F601" s="3" t="s">
        <v>34</v>
      </c>
      <c r="G601" s="15">
        <v>46133</v>
      </c>
      <c r="H601" s="16">
        <f t="shared" si="18"/>
        <v>178</v>
      </c>
      <c r="I601" s="16" t="str">
        <f t="shared" si="19"/>
        <v>121 à 180 dias</v>
      </c>
      <c r="J601" s="4">
        <v>6</v>
      </c>
      <c r="K601" s="5">
        <v>7070.76</v>
      </c>
      <c r="L601" s="6">
        <v>385.91</v>
      </c>
      <c r="M601" s="5">
        <v>7592.21</v>
      </c>
      <c r="N601" s="10">
        <v>0</v>
      </c>
      <c r="O601" s="7">
        <v>282830.40000000002</v>
      </c>
      <c r="P601" s="3" t="s">
        <v>1</v>
      </c>
      <c r="Q601" s="3" t="s">
        <v>3</v>
      </c>
    </row>
    <row r="602" spans="1:17" x14ac:dyDescent="0.25">
      <c r="A602" s="3" t="s">
        <v>103</v>
      </c>
      <c r="B602" s="3" t="s">
        <v>104</v>
      </c>
      <c r="C602" s="3" t="s">
        <v>50</v>
      </c>
      <c r="D602" s="3" t="s">
        <v>105</v>
      </c>
      <c r="E602" s="3" t="s">
        <v>106</v>
      </c>
      <c r="F602" s="3" t="s">
        <v>107</v>
      </c>
      <c r="G602" s="15">
        <v>46133</v>
      </c>
      <c r="H602" s="16">
        <f t="shared" si="18"/>
        <v>130</v>
      </c>
      <c r="I602" s="16" t="str">
        <f t="shared" si="19"/>
        <v>121 à 180 dias</v>
      </c>
      <c r="J602" s="4">
        <v>9</v>
      </c>
      <c r="K602" s="8">
        <v>10715.15</v>
      </c>
      <c r="L602" s="6">
        <v>475.07</v>
      </c>
      <c r="M602" s="5">
        <v>11346.39</v>
      </c>
      <c r="N602" s="5">
        <v>1000</v>
      </c>
      <c r="O602" s="7">
        <v>252758.11</v>
      </c>
      <c r="P602" s="3" t="s">
        <v>1</v>
      </c>
      <c r="Q602" s="3" t="s">
        <v>3</v>
      </c>
    </row>
    <row r="603" spans="1:17" x14ac:dyDescent="0.25">
      <c r="A603" s="3" t="s">
        <v>640</v>
      </c>
      <c r="B603" s="3" t="s">
        <v>168</v>
      </c>
      <c r="C603" s="3" t="s">
        <v>25</v>
      </c>
      <c r="D603" s="3" t="s">
        <v>641</v>
      </c>
      <c r="E603" s="3" t="s">
        <v>642</v>
      </c>
      <c r="F603" s="3" t="s">
        <v>643</v>
      </c>
      <c r="G603" s="15">
        <v>46133</v>
      </c>
      <c r="H603" s="16">
        <f t="shared" si="18"/>
        <v>183</v>
      </c>
      <c r="I603" s="16" t="str">
        <f t="shared" si="19"/>
        <v>181 à 240 dias</v>
      </c>
      <c r="J603" s="4">
        <v>6</v>
      </c>
      <c r="K603" s="5">
        <v>5954.21</v>
      </c>
      <c r="L603" s="6">
        <v>370.95</v>
      </c>
      <c r="M603" s="5">
        <v>6325.16</v>
      </c>
      <c r="N603" s="8">
        <v>11103.18</v>
      </c>
      <c r="O603" s="7">
        <v>107008.54</v>
      </c>
      <c r="P603" s="3" t="s">
        <v>1</v>
      </c>
      <c r="Q603" s="3" t="s">
        <v>2</v>
      </c>
    </row>
    <row r="604" spans="1:17" x14ac:dyDescent="0.25">
      <c r="A604" s="3" t="s">
        <v>567</v>
      </c>
      <c r="B604" s="3" t="s">
        <v>644</v>
      </c>
      <c r="C604" s="3" t="s">
        <v>37</v>
      </c>
      <c r="D604" s="3" t="s">
        <v>645</v>
      </c>
      <c r="E604" s="3" t="s">
        <v>646</v>
      </c>
      <c r="F604" s="3" t="s">
        <v>647</v>
      </c>
      <c r="G604" s="15">
        <v>46133</v>
      </c>
      <c r="H604" s="16">
        <f t="shared" si="18"/>
        <v>239</v>
      </c>
      <c r="I604" s="16" t="str">
        <f t="shared" si="19"/>
        <v>181 à 240 dias</v>
      </c>
      <c r="J604" s="4">
        <v>8</v>
      </c>
      <c r="K604" s="5">
        <v>4296.26</v>
      </c>
      <c r="L604" s="6">
        <v>275.70999999999998</v>
      </c>
      <c r="M604" s="5">
        <v>4571.97</v>
      </c>
      <c r="N604" s="5">
        <v>2066.8000000000002</v>
      </c>
      <c r="O604" s="7">
        <v>128284.94</v>
      </c>
      <c r="P604" s="3" t="s">
        <v>1</v>
      </c>
      <c r="Q604" s="3" t="s">
        <v>2</v>
      </c>
    </row>
    <row r="605" spans="1:17" x14ac:dyDescent="0.25">
      <c r="A605" s="3" t="s">
        <v>648</v>
      </c>
      <c r="B605" s="3" t="s">
        <v>644</v>
      </c>
      <c r="C605" s="3" t="s">
        <v>37</v>
      </c>
      <c r="D605" s="3" t="s">
        <v>649</v>
      </c>
      <c r="E605" s="3" t="s">
        <v>650</v>
      </c>
      <c r="F605" s="3" t="s">
        <v>647</v>
      </c>
      <c r="G605" s="15">
        <v>46133</v>
      </c>
      <c r="H605" s="16">
        <f t="shared" si="18"/>
        <v>239</v>
      </c>
      <c r="I605" s="16" t="str">
        <f t="shared" si="19"/>
        <v>181 à 240 dias</v>
      </c>
      <c r="J605" s="4">
        <v>8</v>
      </c>
      <c r="K605" s="5">
        <v>4453.32</v>
      </c>
      <c r="L605" s="6">
        <v>285.74</v>
      </c>
      <c r="M605" s="5">
        <v>4739.0600000000004</v>
      </c>
      <c r="N605" s="5">
        <v>2142.36</v>
      </c>
      <c r="O605" s="7">
        <v>132974.64000000001</v>
      </c>
      <c r="P605" s="3" t="s">
        <v>1</v>
      </c>
      <c r="Q605" s="3" t="s">
        <v>2</v>
      </c>
    </row>
    <row r="606" spans="1:17" x14ac:dyDescent="0.25">
      <c r="A606" s="3" t="s">
        <v>651</v>
      </c>
      <c r="B606" s="3" t="s">
        <v>652</v>
      </c>
      <c r="C606" s="3" t="s">
        <v>50</v>
      </c>
      <c r="D606" s="3" t="s">
        <v>653</v>
      </c>
      <c r="E606" s="3" t="s">
        <v>654</v>
      </c>
      <c r="F606" s="3" t="s">
        <v>57</v>
      </c>
      <c r="G606" s="15">
        <v>46133</v>
      </c>
      <c r="H606" s="16">
        <f t="shared" si="18"/>
        <v>223</v>
      </c>
      <c r="I606" s="16" t="str">
        <f t="shared" si="19"/>
        <v>181 à 240 dias</v>
      </c>
      <c r="J606" s="4">
        <v>7</v>
      </c>
      <c r="K606" s="5">
        <v>9921.2099999999991</v>
      </c>
      <c r="L606" s="6">
        <v>625.79999999999995</v>
      </c>
      <c r="M606" s="5">
        <v>10739.42</v>
      </c>
      <c r="N606" s="5">
        <v>7013.87</v>
      </c>
      <c r="O606" s="7">
        <v>341357.97</v>
      </c>
      <c r="P606" s="3" t="s">
        <v>1</v>
      </c>
      <c r="Q606" s="3" t="s">
        <v>2</v>
      </c>
    </row>
    <row r="607" spans="1:17" x14ac:dyDescent="0.25">
      <c r="A607" s="3" t="s">
        <v>373</v>
      </c>
      <c r="B607" s="3" t="s">
        <v>652</v>
      </c>
      <c r="C607" s="3" t="s">
        <v>50</v>
      </c>
      <c r="D607" s="3" t="s">
        <v>655</v>
      </c>
      <c r="E607" s="3" t="s">
        <v>656</v>
      </c>
      <c r="F607" s="3" t="s">
        <v>57</v>
      </c>
      <c r="G607" s="15">
        <v>46133</v>
      </c>
      <c r="H607" s="16">
        <f t="shared" si="18"/>
        <v>223</v>
      </c>
      <c r="I607" s="16" t="str">
        <f t="shared" si="19"/>
        <v>181 à 240 dias</v>
      </c>
      <c r="J607" s="4">
        <v>8</v>
      </c>
      <c r="K607" s="8">
        <v>11303.01</v>
      </c>
      <c r="L607" s="6">
        <v>672.68</v>
      </c>
      <c r="M607" s="5">
        <v>12198.95</v>
      </c>
      <c r="N607" s="5">
        <v>4170.1499999999996</v>
      </c>
      <c r="O607" s="7">
        <v>343563.69</v>
      </c>
      <c r="P607" s="3" t="s">
        <v>1</v>
      </c>
      <c r="Q607" s="3" t="s">
        <v>2</v>
      </c>
    </row>
    <row r="608" spans="1:17" x14ac:dyDescent="0.25">
      <c r="A608" s="3" t="s">
        <v>657</v>
      </c>
      <c r="B608" s="3" t="s">
        <v>658</v>
      </c>
      <c r="C608" s="3" t="s">
        <v>37</v>
      </c>
      <c r="D608" s="3" t="s">
        <v>659</v>
      </c>
      <c r="E608" s="3" t="s">
        <v>660</v>
      </c>
      <c r="F608" s="3" t="s">
        <v>647</v>
      </c>
      <c r="G608" s="15">
        <v>46133</v>
      </c>
      <c r="H608" s="16">
        <f t="shared" si="18"/>
        <v>239</v>
      </c>
      <c r="I608" s="16" t="str">
        <f t="shared" si="19"/>
        <v>181 à 240 dias</v>
      </c>
      <c r="J608" s="4">
        <v>8</v>
      </c>
      <c r="K608" s="5">
        <v>4756.6400000000003</v>
      </c>
      <c r="L608" s="6">
        <v>307.01</v>
      </c>
      <c r="M608" s="5">
        <v>5063.6499999999996</v>
      </c>
      <c r="N608" s="6">
        <v>594.58000000000004</v>
      </c>
      <c r="O608" s="7">
        <v>106429.82</v>
      </c>
      <c r="P608" s="3" t="s">
        <v>1</v>
      </c>
      <c r="Q608" s="3" t="s">
        <v>2</v>
      </c>
    </row>
    <row r="609" spans="1:17" x14ac:dyDescent="0.25">
      <c r="A609" s="3" t="s">
        <v>661</v>
      </c>
      <c r="B609" s="3" t="s">
        <v>662</v>
      </c>
      <c r="C609" s="3" t="s">
        <v>50</v>
      </c>
      <c r="D609" s="3" t="s">
        <v>663</v>
      </c>
      <c r="E609" s="3" t="s">
        <v>664</v>
      </c>
      <c r="F609" s="3" t="s">
        <v>647</v>
      </c>
      <c r="G609" s="15">
        <v>46133</v>
      </c>
      <c r="H609" s="16">
        <f t="shared" si="18"/>
        <v>239</v>
      </c>
      <c r="I609" s="16" t="str">
        <f t="shared" si="19"/>
        <v>181 à 240 dias</v>
      </c>
      <c r="J609" s="4">
        <v>8</v>
      </c>
      <c r="K609" s="8">
        <v>14467.47</v>
      </c>
      <c r="L609" s="6">
        <v>934.92</v>
      </c>
      <c r="M609" s="5">
        <v>15615.57</v>
      </c>
      <c r="N609" s="5">
        <v>7403.33</v>
      </c>
      <c r="O609" s="7">
        <v>438385.59</v>
      </c>
      <c r="P609" s="3" t="s">
        <v>1</v>
      </c>
      <c r="Q609" s="3" t="s">
        <v>2</v>
      </c>
    </row>
    <row r="610" spans="1:17" x14ac:dyDescent="0.25">
      <c r="A610" s="3" t="s">
        <v>665</v>
      </c>
      <c r="B610" s="3" t="s">
        <v>666</v>
      </c>
      <c r="C610" s="3" t="s">
        <v>37</v>
      </c>
      <c r="D610" s="3" t="s">
        <v>667</v>
      </c>
      <c r="E610" s="3" t="s">
        <v>668</v>
      </c>
      <c r="F610" s="3" t="s">
        <v>669</v>
      </c>
      <c r="G610" s="15">
        <v>46133</v>
      </c>
      <c r="H610" s="16">
        <f t="shared" si="18"/>
        <v>218</v>
      </c>
      <c r="I610" s="16" t="str">
        <f t="shared" si="19"/>
        <v>181 à 240 dias</v>
      </c>
      <c r="J610" s="4">
        <v>8</v>
      </c>
      <c r="K610" s="5">
        <v>5131.6400000000003</v>
      </c>
      <c r="L610" s="6">
        <v>295.45999999999998</v>
      </c>
      <c r="M610" s="5">
        <v>5427.1</v>
      </c>
      <c r="N610" s="10">
        <v>0</v>
      </c>
      <c r="O610" s="7">
        <v>119190</v>
      </c>
      <c r="P610" s="3" t="s">
        <v>1</v>
      </c>
      <c r="Q610" s="3" t="s">
        <v>2</v>
      </c>
    </row>
    <row r="611" spans="1:17" x14ac:dyDescent="0.25">
      <c r="A611" s="3" t="s">
        <v>670</v>
      </c>
      <c r="B611" s="3" t="s">
        <v>671</v>
      </c>
      <c r="C611" s="3" t="s">
        <v>50</v>
      </c>
      <c r="D611" s="3" t="s">
        <v>672</v>
      </c>
      <c r="E611" s="3" t="s">
        <v>673</v>
      </c>
      <c r="F611" s="3" t="s">
        <v>647</v>
      </c>
      <c r="G611" s="15">
        <v>46133</v>
      </c>
      <c r="H611" s="16">
        <f t="shared" si="18"/>
        <v>239</v>
      </c>
      <c r="I611" s="16" t="str">
        <f t="shared" si="19"/>
        <v>181 à 240 dias</v>
      </c>
      <c r="J611" s="11">
        <v>11</v>
      </c>
      <c r="K611" s="5">
        <v>9070.61</v>
      </c>
      <c r="L611" s="6">
        <v>630.51</v>
      </c>
      <c r="M611" s="5">
        <v>9842.8799999999992</v>
      </c>
      <c r="N611" s="8">
        <v>18419.419999999998</v>
      </c>
      <c r="O611" s="7">
        <v>275210.36</v>
      </c>
      <c r="P611" s="3" t="s">
        <v>1</v>
      </c>
      <c r="Q611" s="3" t="s">
        <v>2</v>
      </c>
    </row>
    <row r="612" spans="1:17" x14ac:dyDescent="0.25">
      <c r="A612" s="3" t="s">
        <v>674</v>
      </c>
      <c r="B612" s="3" t="s">
        <v>675</v>
      </c>
      <c r="C612" s="3" t="s">
        <v>37</v>
      </c>
      <c r="D612" s="3" t="s">
        <v>676</v>
      </c>
      <c r="E612" s="3" t="s">
        <v>677</v>
      </c>
      <c r="F612" s="3" t="s">
        <v>678</v>
      </c>
      <c r="G612" s="15">
        <v>46133</v>
      </c>
      <c r="H612" s="16">
        <f t="shared" si="18"/>
        <v>208</v>
      </c>
      <c r="I612" s="16" t="str">
        <f t="shared" si="19"/>
        <v>181 à 240 dias</v>
      </c>
      <c r="J612" s="4">
        <v>7</v>
      </c>
      <c r="K612" s="5">
        <v>5831.49</v>
      </c>
      <c r="L612" s="6">
        <v>345.17</v>
      </c>
      <c r="M612" s="5">
        <v>6176.66</v>
      </c>
      <c r="N612" s="5">
        <v>4750.2</v>
      </c>
      <c r="O612" s="7">
        <v>194938.38</v>
      </c>
      <c r="P612" s="3" t="s">
        <v>1</v>
      </c>
      <c r="Q612" s="3" t="s">
        <v>2</v>
      </c>
    </row>
    <row r="613" spans="1:17" x14ac:dyDescent="0.25">
      <c r="A613" s="3" t="s">
        <v>679</v>
      </c>
      <c r="B613" s="3" t="s">
        <v>680</v>
      </c>
      <c r="C613" s="3" t="s">
        <v>37</v>
      </c>
      <c r="D613" s="3" t="s">
        <v>681</v>
      </c>
      <c r="E613" s="3" t="s">
        <v>219</v>
      </c>
      <c r="F613" s="3" t="s">
        <v>57</v>
      </c>
      <c r="G613" s="15">
        <v>46133</v>
      </c>
      <c r="H613" s="16">
        <f t="shared" si="18"/>
        <v>223</v>
      </c>
      <c r="I613" s="16" t="str">
        <f t="shared" si="19"/>
        <v>181 à 240 dias</v>
      </c>
      <c r="J613" s="4">
        <v>8</v>
      </c>
      <c r="K613" s="5">
        <v>5051.46</v>
      </c>
      <c r="L613" s="6">
        <v>299.64999999999998</v>
      </c>
      <c r="M613" s="5">
        <v>5351.11</v>
      </c>
      <c r="N613" s="10">
        <v>0</v>
      </c>
      <c r="O613" s="7">
        <v>117327.9</v>
      </c>
      <c r="P613" s="3" t="s">
        <v>1</v>
      </c>
      <c r="Q613" s="3" t="s">
        <v>2</v>
      </c>
    </row>
    <row r="614" spans="1:17" x14ac:dyDescent="0.25">
      <c r="A614" s="3" t="s">
        <v>682</v>
      </c>
      <c r="B614" s="3" t="s">
        <v>683</v>
      </c>
      <c r="C614" s="3" t="s">
        <v>37</v>
      </c>
      <c r="D614" s="3" t="s">
        <v>684</v>
      </c>
      <c r="E614" s="3" t="s">
        <v>157</v>
      </c>
      <c r="F614" s="3" t="s">
        <v>678</v>
      </c>
      <c r="G614" s="15">
        <v>46133</v>
      </c>
      <c r="H614" s="16">
        <f t="shared" si="18"/>
        <v>208</v>
      </c>
      <c r="I614" s="16" t="str">
        <f t="shared" si="19"/>
        <v>181 à 240 dias</v>
      </c>
      <c r="J614" s="4">
        <v>7</v>
      </c>
      <c r="K614" s="5">
        <v>5917.78</v>
      </c>
      <c r="L614" s="6">
        <v>350.39</v>
      </c>
      <c r="M614" s="5">
        <v>6268.17</v>
      </c>
      <c r="N614" s="8">
        <v>13779.42</v>
      </c>
      <c r="O614" s="7">
        <v>193427.38</v>
      </c>
      <c r="P614" s="3" t="s">
        <v>1</v>
      </c>
      <c r="Q614" s="3" t="s">
        <v>2</v>
      </c>
    </row>
    <row r="615" spans="1:17" x14ac:dyDescent="0.25">
      <c r="A615" s="3" t="s">
        <v>685</v>
      </c>
      <c r="B615" s="3" t="s">
        <v>686</v>
      </c>
      <c r="C615" s="3" t="s">
        <v>94</v>
      </c>
      <c r="D615" s="3" t="s">
        <v>687</v>
      </c>
      <c r="E615" s="3" t="s">
        <v>161</v>
      </c>
      <c r="F615" s="3" t="s">
        <v>678</v>
      </c>
      <c r="G615" s="15">
        <v>46133</v>
      </c>
      <c r="H615" s="16">
        <f t="shared" si="18"/>
        <v>208</v>
      </c>
      <c r="I615" s="16" t="str">
        <f t="shared" si="19"/>
        <v>181 à 240 dias</v>
      </c>
      <c r="J615" s="4">
        <v>7</v>
      </c>
      <c r="K615" s="5">
        <v>4566.03</v>
      </c>
      <c r="L615" s="6">
        <v>270.72000000000003</v>
      </c>
      <c r="M615" s="5">
        <v>4836.75</v>
      </c>
      <c r="N615" s="6">
        <v>652.29</v>
      </c>
      <c r="O615" s="7">
        <v>155897.31</v>
      </c>
      <c r="P615" s="3" t="s">
        <v>1</v>
      </c>
      <c r="Q615" s="3" t="s">
        <v>2</v>
      </c>
    </row>
    <row r="616" spans="1:17" x14ac:dyDescent="0.25">
      <c r="A616" s="3" t="s">
        <v>688</v>
      </c>
      <c r="B616" s="3" t="s">
        <v>689</v>
      </c>
      <c r="C616" s="3" t="s">
        <v>37</v>
      </c>
      <c r="D616" s="3" t="s">
        <v>690</v>
      </c>
      <c r="E616" s="3" t="s">
        <v>43</v>
      </c>
      <c r="F616" s="3" t="s">
        <v>678</v>
      </c>
      <c r="G616" s="15">
        <v>46133</v>
      </c>
      <c r="H616" s="16">
        <f t="shared" si="18"/>
        <v>208</v>
      </c>
      <c r="I616" s="16" t="str">
        <f t="shared" si="19"/>
        <v>181 à 240 dias</v>
      </c>
      <c r="J616" s="4">
        <v>7</v>
      </c>
      <c r="K616" s="5">
        <v>5439.97</v>
      </c>
      <c r="L616" s="6">
        <v>344.99</v>
      </c>
      <c r="M616" s="5">
        <v>5784.96</v>
      </c>
      <c r="N616" s="6">
        <v>594.58000000000004</v>
      </c>
      <c r="O616" s="7">
        <v>106518.57</v>
      </c>
      <c r="P616" s="3" t="s">
        <v>1</v>
      </c>
      <c r="Q616" s="3" t="s">
        <v>2</v>
      </c>
    </row>
    <row r="617" spans="1:17" x14ac:dyDescent="0.25">
      <c r="A617" s="3" t="s">
        <v>691</v>
      </c>
      <c r="B617" s="3" t="s">
        <v>692</v>
      </c>
      <c r="C617" s="3" t="s">
        <v>349</v>
      </c>
      <c r="D617" s="3" t="s">
        <v>693</v>
      </c>
      <c r="E617" s="3" t="s">
        <v>694</v>
      </c>
      <c r="F617" s="3" t="s">
        <v>678</v>
      </c>
      <c r="G617" s="15">
        <v>46133</v>
      </c>
      <c r="H617" s="16">
        <f t="shared" si="18"/>
        <v>208</v>
      </c>
      <c r="I617" s="16" t="str">
        <f t="shared" si="19"/>
        <v>181 à 240 dias</v>
      </c>
      <c r="J617" s="4">
        <v>7</v>
      </c>
      <c r="K617" s="8">
        <v>10347.780000000001</v>
      </c>
      <c r="L617" s="6">
        <v>644.6</v>
      </c>
      <c r="M617" s="8">
        <v>10992.38</v>
      </c>
      <c r="N617" s="8">
        <v>14449.46</v>
      </c>
      <c r="O617" s="7">
        <v>261175.98</v>
      </c>
      <c r="P617" s="3" t="s">
        <v>1</v>
      </c>
      <c r="Q617" s="3" t="s">
        <v>2</v>
      </c>
    </row>
    <row r="618" spans="1:17" x14ac:dyDescent="0.25">
      <c r="A618" s="3" t="s">
        <v>695</v>
      </c>
      <c r="B618" s="3" t="s">
        <v>696</v>
      </c>
      <c r="C618" s="3" t="s">
        <v>37</v>
      </c>
      <c r="D618" s="3" t="s">
        <v>697</v>
      </c>
      <c r="E618" s="3" t="s">
        <v>698</v>
      </c>
      <c r="F618" s="3" t="s">
        <v>647</v>
      </c>
      <c r="G618" s="15">
        <v>46133</v>
      </c>
      <c r="H618" s="16">
        <f t="shared" si="18"/>
        <v>239</v>
      </c>
      <c r="I618" s="16" t="str">
        <f t="shared" si="19"/>
        <v>181 à 240 dias</v>
      </c>
      <c r="J618" s="4">
        <v>8</v>
      </c>
      <c r="K618" s="5">
        <v>8640.7000000000007</v>
      </c>
      <c r="L618" s="6">
        <v>556.53</v>
      </c>
      <c r="M618" s="5">
        <v>9197.23</v>
      </c>
      <c r="N618" s="10">
        <v>0</v>
      </c>
      <c r="O618" s="7">
        <v>200451.66</v>
      </c>
      <c r="P618" s="3" t="s">
        <v>1</v>
      </c>
      <c r="Q618" s="3" t="s">
        <v>2</v>
      </c>
    </row>
    <row r="619" spans="1:17" x14ac:dyDescent="0.25">
      <c r="A619" s="3" t="s">
        <v>699</v>
      </c>
      <c r="B619" s="3" t="s">
        <v>700</v>
      </c>
      <c r="C619" s="3" t="s">
        <v>50</v>
      </c>
      <c r="D619" s="3" t="s">
        <v>701</v>
      </c>
      <c r="E619" s="3" t="s">
        <v>702</v>
      </c>
      <c r="F619" s="3" t="s">
        <v>703</v>
      </c>
      <c r="G619" s="15">
        <v>46133</v>
      </c>
      <c r="H619" s="16">
        <f t="shared" si="18"/>
        <v>234</v>
      </c>
      <c r="I619" s="16" t="str">
        <f t="shared" si="19"/>
        <v>181 à 240 dias</v>
      </c>
      <c r="J619" s="4">
        <v>8</v>
      </c>
      <c r="K619" s="5">
        <v>8680.24</v>
      </c>
      <c r="L619" s="6">
        <v>549.08000000000004</v>
      </c>
      <c r="M619" s="5">
        <v>9409.94</v>
      </c>
      <c r="N619" s="10">
        <v>0</v>
      </c>
      <c r="O619" s="7">
        <v>260407.2</v>
      </c>
      <c r="P619" s="3" t="s">
        <v>1</v>
      </c>
      <c r="Q619" s="3" t="s">
        <v>2</v>
      </c>
    </row>
    <row r="620" spans="1:17" x14ac:dyDescent="0.25">
      <c r="A620" s="3" t="s">
        <v>704</v>
      </c>
      <c r="B620" s="3" t="s">
        <v>705</v>
      </c>
      <c r="C620" s="3" t="s">
        <v>50</v>
      </c>
      <c r="D620" s="3" t="s">
        <v>706</v>
      </c>
      <c r="E620" s="3" t="s">
        <v>707</v>
      </c>
      <c r="F620" s="3" t="s">
        <v>708</v>
      </c>
      <c r="G620" s="15">
        <v>46133</v>
      </c>
      <c r="H620" s="16">
        <f t="shared" si="18"/>
        <v>201</v>
      </c>
      <c r="I620" s="16" t="str">
        <f t="shared" si="19"/>
        <v>181 à 240 dias</v>
      </c>
      <c r="J620" s="11">
        <v>10</v>
      </c>
      <c r="K620" s="8">
        <v>12833.82</v>
      </c>
      <c r="L620" s="6">
        <v>822.5</v>
      </c>
      <c r="M620" s="5">
        <v>13805.73</v>
      </c>
      <c r="N620" s="5">
        <v>8956.7800000000007</v>
      </c>
      <c r="O620" s="7">
        <v>300978.81</v>
      </c>
      <c r="P620" s="3" t="s">
        <v>1</v>
      </c>
      <c r="Q620" s="3" t="s">
        <v>2</v>
      </c>
    </row>
    <row r="621" spans="1:17" x14ac:dyDescent="0.25">
      <c r="A621" s="3" t="s">
        <v>709</v>
      </c>
      <c r="B621" s="3" t="s">
        <v>710</v>
      </c>
      <c r="C621" s="3" t="s">
        <v>37</v>
      </c>
      <c r="D621" s="3" t="s">
        <v>711</v>
      </c>
      <c r="E621" s="3" t="s">
        <v>712</v>
      </c>
      <c r="F621" s="3" t="s">
        <v>678</v>
      </c>
      <c r="G621" s="15">
        <v>46133</v>
      </c>
      <c r="H621" s="16">
        <f t="shared" si="18"/>
        <v>208</v>
      </c>
      <c r="I621" s="16" t="str">
        <f t="shared" si="19"/>
        <v>181 à 240 dias</v>
      </c>
      <c r="J621" s="4">
        <v>7</v>
      </c>
      <c r="K621" s="5">
        <v>3871.98</v>
      </c>
      <c r="L621" s="6">
        <v>229.39</v>
      </c>
      <c r="M621" s="5">
        <v>4101.37</v>
      </c>
      <c r="N621" s="5">
        <v>3780.62</v>
      </c>
      <c r="O621" s="7">
        <v>128881.62</v>
      </c>
      <c r="P621" s="3" t="s">
        <v>1</v>
      </c>
      <c r="Q621" s="3" t="s">
        <v>2</v>
      </c>
    </row>
    <row r="622" spans="1:17" x14ac:dyDescent="0.25">
      <c r="A622" s="3" t="s">
        <v>713</v>
      </c>
      <c r="B622" s="3" t="s">
        <v>714</v>
      </c>
      <c r="C622" s="3" t="s">
        <v>37</v>
      </c>
      <c r="D622" s="3" t="s">
        <v>715</v>
      </c>
      <c r="E622" s="3" t="s">
        <v>716</v>
      </c>
      <c r="F622" s="3" t="s">
        <v>647</v>
      </c>
      <c r="G622" s="15">
        <v>46133</v>
      </c>
      <c r="H622" s="16">
        <f t="shared" si="18"/>
        <v>239</v>
      </c>
      <c r="I622" s="16" t="str">
        <f t="shared" si="19"/>
        <v>181 à 240 dias</v>
      </c>
      <c r="J622" s="4">
        <v>8</v>
      </c>
      <c r="K622" s="5">
        <v>4194.5200000000004</v>
      </c>
      <c r="L622" s="6">
        <v>268.87</v>
      </c>
      <c r="M622" s="5">
        <v>4463.3900000000003</v>
      </c>
      <c r="N622" s="5">
        <v>6113.97</v>
      </c>
      <c r="O622" s="7">
        <v>121758.12</v>
      </c>
      <c r="P622" s="3" t="s">
        <v>1</v>
      </c>
      <c r="Q622" s="3" t="s">
        <v>2</v>
      </c>
    </row>
    <row r="623" spans="1:17" x14ac:dyDescent="0.25">
      <c r="A623" s="3" t="s">
        <v>717</v>
      </c>
      <c r="B623" s="3" t="s">
        <v>718</v>
      </c>
      <c r="C623" s="3" t="s">
        <v>37</v>
      </c>
      <c r="D623" s="3" t="s">
        <v>719</v>
      </c>
      <c r="E623" s="3" t="s">
        <v>720</v>
      </c>
      <c r="F623" s="3" t="s">
        <v>678</v>
      </c>
      <c r="G623" s="15">
        <v>46133</v>
      </c>
      <c r="H623" s="16">
        <f t="shared" si="18"/>
        <v>208</v>
      </c>
      <c r="I623" s="16" t="str">
        <f t="shared" si="19"/>
        <v>181 à 240 dias</v>
      </c>
      <c r="J623" s="4">
        <v>8</v>
      </c>
      <c r="K623" s="5">
        <v>4710.33</v>
      </c>
      <c r="L623" s="6">
        <v>298.7</v>
      </c>
      <c r="M623" s="5">
        <v>5009.03</v>
      </c>
      <c r="N623" s="5">
        <v>3898.89</v>
      </c>
      <c r="O623" s="7">
        <v>121945.21</v>
      </c>
      <c r="P623" s="3" t="s">
        <v>1</v>
      </c>
      <c r="Q623" s="3" t="s">
        <v>2</v>
      </c>
    </row>
    <row r="624" spans="1:17" x14ac:dyDescent="0.25">
      <c r="A624" s="3" t="s">
        <v>721</v>
      </c>
      <c r="B624" s="3" t="s">
        <v>722</v>
      </c>
      <c r="C624" s="3" t="s">
        <v>37</v>
      </c>
      <c r="D624" s="3" t="s">
        <v>723</v>
      </c>
      <c r="E624" s="3" t="s">
        <v>724</v>
      </c>
      <c r="F624" s="3" t="s">
        <v>520</v>
      </c>
      <c r="G624" s="15">
        <v>46133</v>
      </c>
      <c r="H624" s="16">
        <f t="shared" si="18"/>
        <v>203</v>
      </c>
      <c r="I624" s="16" t="str">
        <f t="shared" si="19"/>
        <v>181 à 240 dias</v>
      </c>
      <c r="J624" s="11">
        <v>10</v>
      </c>
      <c r="K624" s="5">
        <v>6019.22</v>
      </c>
      <c r="L624" s="6">
        <v>362.92</v>
      </c>
      <c r="M624" s="5">
        <v>6382.14</v>
      </c>
      <c r="N624" s="5">
        <v>3031.71</v>
      </c>
      <c r="O624" s="7">
        <v>122674.98</v>
      </c>
      <c r="P624" s="3" t="s">
        <v>1</v>
      </c>
      <c r="Q624" s="3" t="s">
        <v>2</v>
      </c>
    </row>
    <row r="625" spans="1:17" x14ac:dyDescent="0.25">
      <c r="A625" s="3" t="s">
        <v>725</v>
      </c>
      <c r="B625" s="3" t="s">
        <v>726</v>
      </c>
      <c r="C625" s="3" t="s">
        <v>37</v>
      </c>
      <c r="D625" s="3" t="s">
        <v>727</v>
      </c>
      <c r="E625" s="3" t="s">
        <v>219</v>
      </c>
      <c r="F625" s="3" t="s">
        <v>678</v>
      </c>
      <c r="G625" s="15">
        <v>46133</v>
      </c>
      <c r="H625" s="16">
        <f t="shared" si="18"/>
        <v>208</v>
      </c>
      <c r="I625" s="16" t="str">
        <f t="shared" si="19"/>
        <v>181 à 240 dias</v>
      </c>
      <c r="J625" s="4">
        <v>7</v>
      </c>
      <c r="K625" s="8">
        <v>23738.76</v>
      </c>
      <c r="L625" s="5">
        <v>1412.25</v>
      </c>
      <c r="M625" s="8">
        <v>25151.01</v>
      </c>
      <c r="N625" s="5">
        <v>3369.32</v>
      </c>
      <c r="O625" s="7">
        <v>629667.24</v>
      </c>
      <c r="P625" s="3" t="s">
        <v>1</v>
      </c>
      <c r="Q625" s="3" t="s">
        <v>3</v>
      </c>
    </row>
    <row r="626" spans="1:17" x14ac:dyDescent="0.25">
      <c r="A626" s="3" t="s">
        <v>728</v>
      </c>
      <c r="B626" s="3" t="s">
        <v>729</v>
      </c>
      <c r="C626" s="3" t="s">
        <v>50</v>
      </c>
      <c r="D626" s="3" t="s">
        <v>730</v>
      </c>
      <c r="E626" s="3" t="s">
        <v>731</v>
      </c>
      <c r="F626" s="3" t="s">
        <v>732</v>
      </c>
      <c r="G626" s="15">
        <v>46133</v>
      </c>
      <c r="H626" s="16">
        <f t="shared" si="18"/>
        <v>213</v>
      </c>
      <c r="I626" s="16" t="str">
        <f t="shared" si="19"/>
        <v>181 à 240 dias</v>
      </c>
      <c r="J626" s="4">
        <v>8</v>
      </c>
      <c r="K626" s="5">
        <v>8829.0400000000009</v>
      </c>
      <c r="L626" s="6">
        <v>496.95</v>
      </c>
      <c r="M626" s="5">
        <v>9502.09</v>
      </c>
      <c r="N626" s="10">
        <v>0</v>
      </c>
      <c r="O626" s="7">
        <v>264871.2</v>
      </c>
      <c r="P626" s="3" t="s">
        <v>1</v>
      </c>
      <c r="Q626" s="3" t="s">
        <v>3</v>
      </c>
    </row>
    <row r="627" spans="1:17" x14ac:dyDescent="0.25">
      <c r="A627" s="3" t="s">
        <v>733</v>
      </c>
      <c r="B627" s="3" t="s">
        <v>430</v>
      </c>
      <c r="C627" s="3" t="s">
        <v>37</v>
      </c>
      <c r="D627" s="3" t="s">
        <v>734</v>
      </c>
      <c r="E627" s="3" t="s">
        <v>735</v>
      </c>
      <c r="F627" s="3" t="s">
        <v>678</v>
      </c>
      <c r="G627" s="15">
        <v>46133</v>
      </c>
      <c r="H627" s="16">
        <f t="shared" si="18"/>
        <v>208</v>
      </c>
      <c r="I627" s="16" t="str">
        <f t="shared" si="19"/>
        <v>181 à 240 dias</v>
      </c>
      <c r="J627" s="4">
        <v>6</v>
      </c>
      <c r="K627" s="5">
        <v>3774.37</v>
      </c>
      <c r="L627" s="6">
        <v>211.93</v>
      </c>
      <c r="M627" s="5">
        <v>3986.3</v>
      </c>
      <c r="N627" s="6">
        <v>624.32000000000005</v>
      </c>
      <c r="O627" s="7">
        <v>116703.58</v>
      </c>
      <c r="P627" s="3" t="s">
        <v>1</v>
      </c>
      <c r="Q627" s="3" t="s">
        <v>3</v>
      </c>
    </row>
    <row r="628" spans="1:17" x14ac:dyDescent="0.25">
      <c r="A628" s="3" t="s">
        <v>1290</v>
      </c>
      <c r="B628" s="3" t="s">
        <v>1291</v>
      </c>
      <c r="C628" s="3" t="s">
        <v>31</v>
      </c>
      <c r="D628" s="3" t="s">
        <v>1292</v>
      </c>
      <c r="E628" s="3" t="s">
        <v>1163</v>
      </c>
      <c r="F628" s="3" t="s">
        <v>1293</v>
      </c>
      <c r="G628" s="15">
        <v>46133</v>
      </c>
      <c r="H628" s="16">
        <f t="shared" si="18"/>
        <v>275</v>
      </c>
      <c r="I628" s="16" t="str">
        <f t="shared" si="19"/>
        <v>241 à 365 dias</v>
      </c>
      <c r="J628" s="11">
        <v>11</v>
      </c>
      <c r="K628" s="8">
        <v>14636</v>
      </c>
      <c r="L628" s="5">
        <v>1143.6199999999999</v>
      </c>
      <c r="M628" s="8">
        <v>15779.62</v>
      </c>
      <c r="N628" s="8">
        <v>39363.550000000003</v>
      </c>
      <c r="O628" s="7">
        <v>192136</v>
      </c>
      <c r="P628" s="3" t="s">
        <v>1</v>
      </c>
      <c r="Q628" s="3" t="s">
        <v>2</v>
      </c>
    </row>
    <row r="629" spans="1:17" x14ac:dyDescent="0.25">
      <c r="A629" s="3" t="s">
        <v>1108</v>
      </c>
      <c r="B629" s="3" t="s">
        <v>1294</v>
      </c>
      <c r="C629" s="3" t="s">
        <v>37</v>
      </c>
      <c r="D629" s="3" t="s">
        <v>1295</v>
      </c>
      <c r="E629" s="3" t="s">
        <v>1296</v>
      </c>
      <c r="F629" s="3" t="s">
        <v>1297</v>
      </c>
      <c r="G629" s="15">
        <v>46133</v>
      </c>
      <c r="H629" s="16">
        <f t="shared" si="18"/>
        <v>331</v>
      </c>
      <c r="I629" s="16" t="str">
        <f t="shared" si="19"/>
        <v>241 à 365 dias</v>
      </c>
      <c r="J629" s="11">
        <v>11</v>
      </c>
      <c r="K629" s="5">
        <v>7400.76</v>
      </c>
      <c r="L629" s="6">
        <v>587.80999999999995</v>
      </c>
      <c r="M629" s="5">
        <v>7988.57</v>
      </c>
      <c r="N629" s="10">
        <v>0</v>
      </c>
      <c r="O629" s="7">
        <v>165639.76</v>
      </c>
      <c r="P629" s="3" t="s">
        <v>1</v>
      </c>
      <c r="Q629" s="3" t="s">
        <v>2</v>
      </c>
    </row>
    <row r="630" spans="1:17" x14ac:dyDescent="0.25">
      <c r="A630" s="3" t="s">
        <v>1124</v>
      </c>
      <c r="B630" s="3" t="s">
        <v>1298</v>
      </c>
      <c r="C630" s="3" t="s">
        <v>37</v>
      </c>
      <c r="D630" s="3" t="s">
        <v>1299</v>
      </c>
      <c r="E630" s="3" t="s">
        <v>1300</v>
      </c>
      <c r="F630" s="3" t="s">
        <v>1301</v>
      </c>
      <c r="G630" s="15">
        <v>46133</v>
      </c>
      <c r="H630" s="16">
        <f t="shared" si="18"/>
        <v>269</v>
      </c>
      <c r="I630" s="16" t="str">
        <f t="shared" si="19"/>
        <v>241 à 365 dias</v>
      </c>
      <c r="J630" s="11">
        <v>12</v>
      </c>
      <c r="K630" s="5">
        <v>7105.56</v>
      </c>
      <c r="L630" s="6">
        <v>591.22</v>
      </c>
      <c r="M630" s="5">
        <v>7696.78</v>
      </c>
      <c r="N630" s="6">
        <v>612.76</v>
      </c>
      <c r="O630" s="7">
        <v>134131.12</v>
      </c>
      <c r="P630" s="3" t="s">
        <v>1</v>
      </c>
      <c r="Q630" s="3" t="s">
        <v>2</v>
      </c>
    </row>
    <row r="631" spans="1:17" x14ac:dyDescent="0.25">
      <c r="A631" s="3" t="s">
        <v>1302</v>
      </c>
      <c r="B631" s="3" t="s">
        <v>1303</v>
      </c>
      <c r="C631" s="3" t="s">
        <v>37</v>
      </c>
      <c r="D631" s="3" t="s">
        <v>1304</v>
      </c>
      <c r="E631" s="3" t="s">
        <v>79</v>
      </c>
      <c r="F631" s="3" t="s">
        <v>1305</v>
      </c>
      <c r="G631" s="15">
        <v>46133</v>
      </c>
      <c r="H631" s="16">
        <f t="shared" si="18"/>
        <v>254</v>
      </c>
      <c r="I631" s="16" t="str">
        <f t="shared" si="19"/>
        <v>241 à 365 dias</v>
      </c>
      <c r="J631" s="4">
        <v>9</v>
      </c>
      <c r="K631" s="5">
        <v>5299.59</v>
      </c>
      <c r="L631" s="6">
        <v>339.37</v>
      </c>
      <c r="M631" s="5">
        <v>5638.96</v>
      </c>
      <c r="N631" s="5">
        <v>1706.37</v>
      </c>
      <c r="O631" s="7">
        <v>141841.95000000001</v>
      </c>
      <c r="P631" s="3" t="s">
        <v>1</v>
      </c>
      <c r="Q631" s="3" t="s">
        <v>2</v>
      </c>
    </row>
    <row r="632" spans="1:17" x14ac:dyDescent="0.25">
      <c r="A632" s="3" t="s">
        <v>1306</v>
      </c>
      <c r="B632" s="3" t="s">
        <v>1307</v>
      </c>
      <c r="C632" s="3" t="s">
        <v>120</v>
      </c>
      <c r="D632" s="3" t="s">
        <v>1308</v>
      </c>
      <c r="E632" s="3" t="s">
        <v>908</v>
      </c>
      <c r="F632" s="3" t="s">
        <v>1309</v>
      </c>
      <c r="G632" s="15">
        <v>46133</v>
      </c>
      <c r="H632" s="16">
        <f t="shared" si="18"/>
        <v>315</v>
      </c>
      <c r="I632" s="16" t="str">
        <f t="shared" si="19"/>
        <v>241 à 365 dias</v>
      </c>
      <c r="J632" s="11">
        <v>34</v>
      </c>
      <c r="K632" s="8">
        <v>32765.91</v>
      </c>
      <c r="L632" s="5">
        <v>2359.61</v>
      </c>
      <c r="M632" s="8">
        <v>35125.519999999997</v>
      </c>
      <c r="N632" s="8">
        <v>41829.410000000003</v>
      </c>
      <c r="O632" s="7">
        <v>305076.47999999998</v>
      </c>
      <c r="P632" s="3" t="s">
        <v>1</v>
      </c>
      <c r="Q632" s="3" t="s">
        <v>2</v>
      </c>
    </row>
    <row r="633" spans="1:17" x14ac:dyDescent="0.25">
      <c r="A633" s="3" t="s">
        <v>1310</v>
      </c>
      <c r="B633" s="3" t="s">
        <v>1311</v>
      </c>
      <c r="C633" s="3" t="s">
        <v>37</v>
      </c>
      <c r="D633" s="3" t="s">
        <v>1312</v>
      </c>
      <c r="E633" s="3" t="s">
        <v>646</v>
      </c>
      <c r="F633" s="3" t="s">
        <v>857</v>
      </c>
      <c r="G633" s="15">
        <v>46133</v>
      </c>
      <c r="H633" s="16">
        <f t="shared" si="18"/>
        <v>361</v>
      </c>
      <c r="I633" s="16" t="str">
        <f t="shared" si="19"/>
        <v>241 à 365 dias</v>
      </c>
      <c r="J633" s="11">
        <v>12</v>
      </c>
      <c r="K633" s="5">
        <v>8749.24</v>
      </c>
      <c r="L633" s="6">
        <v>740.21</v>
      </c>
      <c r="M633" s="5">
        <v>9489.4500000000007</v>
      </c>
      <c r="N633" s="10">
        <v>0</v>
      </c>
      <c r="O633" s="7">
        <v>178730.08</v>
      </c>
      <c r="P633" s="3" t="s">
        <v>1</v>
      </c>
      <c r="Q633" s="3" t="s">
        <v>2</v>
      </c>
    </row>
    <row r="634" spans="1:17" x14ac:dyDescent="0.25">
      <c r="A634" s="3" t="s">
        <v>1313</v>
      </c>
      <c r="B634" s="3" t="s">
        <v>1314</v>
      </c>
      <c r="C634" s="3" t="s">
        <v>37</v>
      </c>
      <c r="D634" s="3" t="s">
        <v>1315</v>
      </c>
      <c r="E634" s="3" t="s">
        <v>1316</v>
      </c>
      <c r="F634" s="3" t="s">
        <v>1317</v>
      </c>
      <c r="G634" s="15">
        <v>46133</v>
      </c>
      <c r="H634" s="16">
        <f t="shared" si="18"/>
        <v>270</v>
      </c>
      <c r="I634" s="16" t="str">
        <f t="shared" si="19"/>
        <v>241 à 365 dias</v>
      </c>
      <c r="J634" s="4">
        <v>9</v>
      </c>
      <c r="K634" s="5">
        <v>5704.59</v>
      </c>
      <c r="L634" s="6">
        <v>396.09</v>
      </c>
      <c r="M634" s="5">
        <v>6100.68</v>
      </c>
      <c r="N634" s="10">
        <v>0</v>
      </c>
      <c r="O634" s="7">
        <v>117348.78</v>
      </c>
      <c r="P634" s="3" t="s">
        <v>1</v>
      </c>
      <c r="Q634" s="3" t="s">
        <v>2</v>
      </c>
    </row>
    <row r="635" spans="1:17" x14ac:dyDescent="0.25">
      <c r="A635" s="3" t="s">
        <v>1318</v>
      </c>
      <c r="B635" s="3" t="s">
        <v>1319</v>
      </c>
      <c r="C635" s="3" t="s">
        <v>37</v>
      </c>
      <c r="D635" s="3" t="s">
        <v>1320</v>
      </c>
      <c r="E635" s="3" t="s">
        <v>1321</v>
      </c>
      <c r="F635" s="3" t="s">
        <v>1297</v>
      </c>
      <c r="G635" s="15">
        <v>46133</v>
      </c>
      <c r="H635" s="16">
        <f t="shared" si="18"/>
        <v>331</v>
      </c>
      <c r="I635" s="16" t="str">
        <f t="shared" si="19"/>
        <v>241 à 365 dias</v>
      </c>
      <c r="J635" s="11">
        <v>11</v>
      </c>
      <c r="K635" s="5">
        <v>5494.34</v>
      </c>
      <c r="L635" s="6">
        <v>436.38</v>
      </c>
      <c r="M635" s="5">
        <v>5930.72</v>
      </c>
      <c r="N635" s="10">
        <v>0</v>
      </c>
      <c r="O635" s="7">
        <v>122971.34</v>
      </c>
      <c r="P635" s="3" t="s">
        <v>1</v>
      </c>
      <c r="Q635" s="3" t="s">
        <v>2</v>
      </c>
    </row>
    <row r="636" spans="1:17" x14ac:dyDescent="0.25">
      <c r="A636" s="3" t="s">
        <v>1322</v>
      </c>
      <c r="B636" s="3" t="s">
        <v>644</v>
      </c>
      <c r="C636" s="3" t="s">
        <v>37</v>
      </c>
      <c r="D636" s="3" t="s">
        <v>1323</v>
      </c>
      <c r="E636" s="3" t="s">
        <v>650</v>
      </c>
      <c r="F636" s="3" t="s">
        <v>1317</v>
      </c>
      <c r="G636" s="15">
        <v>46133</v>
      </c>
      <c r="H636" s="16">
        <f t="shared" si="18"/>
        <v>270</v>
      </c>
      <c r="I636" s="16" t="str">
        <f t="shared" si="19"/>
        <v>241 à 365 dias</v>
      </c>
      <c r="J636" s="4">
        <v>9</v>
      </c>
      <c r="K636" s="5">
        <v>4988.91</v>
      </c>
      <c r="L636" s="6">
        <v>345.45</v>
      </c>
      <c r="M636" s="5">
        <v>5334.36</v>
      </c>
      <c r="N636" s="5">
        <v>1606.77</v>
      </c>
      <c r="O636" s="7">
        <v>133510.23000000001</v>
      </c>
      <c r="P636" s="3" t="s">
        <v>1</v>
      </c>
      <c r="Q636" s="3" t="s">
        <v>2</v>
      </c>
    </row>
    <row r="637" spans="1:17" x14ac:dyDescent="0.25">
      <c r="A637" s="3" t="s">
        <v>1324</v>
      </c>
      <c r="B637" s="3" t="s">
        <v>1325</v>
      </c>
      <c r="C637" s="3" t="s">
        <v>37</v>
      </c>
      <c r="D637" s="3" t="s">
        <v>1326</v>
      </c>
      <c r="E637" s="3" t="s">
        <v>400</v>
      </c>
      <c r="F637" s="3" t="s">
        <v>1317</v>
      </c>
      <c r="G637" s="15">
        <v>46133</v>
      </c>
      <c r="H637" s="16">
        <f t="shared" si="18"/>
        <v>270</v>
      </c>
      <c r="I637" s="16" t="str">
        <f t="shared" si="19"/>
        <v>241 à 365 dias</v>
      </c>
      <c r="J637" s="4">
        <v>9</v>
      </c>
      <c r="K637" s="5">
        <v>4950.16</v>
      </c>
      <c r="L637" s="6">
        <v>343.37</v>
      </c>
      <c r="M637" s="5">
        <v>5293.53</v>
      </c>
      <c r="N637" s="5">
        <v>2629.76</v>
      </c>
      <c r="O637" s="7">
        <v>129959.8</v>
      </c>
      <c r="P637" s="3" t="s">
        <v>1</v>
      </c>
      <c r="Q637" s="3" t="s">
        <v>2</v>
      </c>
    </row>
    <row r="638" spans="1:17" x14ac:dyDescent="0.25">
      <c r="A638" s="3" t="s">
        <v>559</v>
      </c>
      <c r="B638" s="3" t="s">
        <v>1327</v>
      </c>
      <c r="C638" s="3" t="s">
        <v>94</v>
      </c>
      <c r="D638" s="3" t="s">
        <v>1328</v>
      </c>
      <c r="E638" s="3" t="s">
        <v>1329</v>
      </c>
      <c r="F638" s="3" t="s">
        <v>1330</v>
      </c>
      <c r="G638" s="15">
        <v>46133</v>
      </c>
      <c r="H638" s="16">
        <f t="shared" si="18"/>
        <v>285</v>
      </c>
      <c r="I638" s="16" t="str">
        <f t="shared" si="19"/>
        <v>241 à 365 dias</v>
      </c>
      <c r="J638" s="11">
        <v>10</v>
      </c>
      <c r="K638" s="5">
        <v>6791.3</v>
      </c>
      <c r="L638" s="6">
        <v>473.97</v>
      </c>
      <c r="M638" s="5">
        <v>7265.27</v>
      </c>
      <c r="N638" s="5">
        <v>1464.01</v>
      </c>
      <c r="O638" s="7">
        <v>161632.94</v>
      </c>
      <c r="P638" s="3" t="s">
        <v>1</v>
      </c>
      <c r="Q638" s="3" t="s">
        <v>2</v>
      </c>
    </row>
    <row r="639" spans="1:17" x14ac:dyDescent="0.25">
      <c r="A639" s="3" t="s">
        <v>1331</v>
      </c>
      <c r="B639" s="3" t="s">
        <v>1332</v>
      </c>
      <c r="C639" s="3" t="s">
        <v>37</v>
      </c>
      <c r="D639" s="3" t="s">
        <v>1333</v>
      </c>
      <c r="E639" s="3" t="s">
        <v>1334</v>
      </c>
      <c r="F639" s="3" t="s">
        <v>1335</v>
      </c>
      <c r="G639" s="15">
        <v>46133</v>
      </c>
      <c r="H639" s="16">
        <f t="shared" si="18"/>
        <v>310</v>
      </c>
      <c r="I639" s="16" t="str">
        <f t="shared" si="19"/>
        <v>241 à 365 dias</v>
      </c>
      <c r="J639" s="11">
        <v>11</v>
      </c>
      <c r="K639" s="5">
        <v>5456.27</v>
      </c>
      <c r="L639" s="6">
        <v>395.64</v>
      </c>
      <c r="M639" s="5">
        <v>5851.91</v>
      </c>
      <c r="N639" s="5">
        <v>3917.77</v>
      </c>
      <c r="O639" s="7">
        <v>115530.53</v>
      </c>
      <c r="P639" s="3" t="s">
        <v>1</v>
      </c>
      <c r="Q639" s="3" t="s">
        <v>2</v>
      </c>
    </row>
    <row r="640" spans="1:17" x14ac:dyDescent="0.25">
      <c r="A640" s="3" t="s">
        <v>1336</v>
      </c>
      <c r="B640" s="3" t="s">
        <v>1337</v>
      </c>
      <c r="C640" s="3" t="s">
        <v>37</v>
      </c>
      <c r="D640" s="3" t="s">
        <v>1338</v>
      </c>
      <c r="E640" s="3" t="s">
        <v>813</v>
      </c>
      <c r="F640" s="3" t="s">
        <v>1234</v>
      </c>
      <c r="G640" s="15">
        <v>46133</v>
      </c>
      <c r="H640" s="16">
        <f t="shared" si="18"/>
        <v>249</v>
      </c>
      <c r="I640" s="16" t="str">
        <f t="shared" si="19"/>
        <v>241 à 365 dias</v>
      </c>
      <c r="J640" s="4">
        <v>9</v>
      </c>
      <c r="K640" s="5">
        <v>3611.83</v>
      </c>
      <c r="L640" s="6">
        <v>239.39</v>
      </c>
      <c r="M640" s="5">
        <v>3851.22</v>
      </c>
      <c r="N640" s="8">
        <v>10412.76</v>
      </c>
      <c r="O640" s="8">
        <v>89824.44</v>
      </c>
      <c r="P640" s="3" t="s">
        <v>1</v>
      </c>
      <c r="Q640" s="3" t="s">
        <v>2</v>
      </c>
    </row>
    <row r="641" spans="1:17" x14ac:dyDescent="0.25">
      <c r="A641" s="3" t="s">
        <v>1339</v>
      </c>
      <c r="B641" s="3" t="s">
        <v>1340</v>
      </c>
      <c r="C641" s="3" t="s">
        <v>37</v>
      </c>
      <c r="D641" s="3" t="s">
        <v>1341</v>
      </c>
      <c r="E641" s="3" t="s">
        <v>1342</v>
      </c>
      <c r="F641" s="3" t="s">
        <v>1297</v>
      </c>
      <c r="G641" s="15">
        <v>46133</v>
      </c>
      <c r="H641" s="16">
        <f t="shared" si="18"/>
        <v>331</v>
      </c>
      <c r="I641" s="16" t="str">
        <f t="shared" si="19"/>
        <v>241 à 365 dias</v>
      </c>
      <c r="J641" s="11">
        <v>16</v>
      </c>
      <c r="K641" s="5">
        <v>8355.01</v>
      </c>
      <c r="L641" s="6">
        <v>778.36</v>
      </c>
      <c r="M641" s="5">
        <v>9133.3700000000008</v>
      </c>
      <c r="N641" s="5">
        <v>3194.34</v>
      </c>
      <c r="O641" s="7">
        <v>109567.75</v>
      </c>
      <c r="P641" s="3" t="s">
        <v>1</v>
      </c>
      <c r="Q641" s="3" t="s">
        <v>2</v>
      </c>
    </row>
    <row r="642" spans="1:17" x14ac:dyDescent="0.25">
      <c r="A642" s="3" t="s">
        <v>1343</v>
      </c>
      <c r="B642" s="3" t="s">
        <v>1340</v>
      </c>
      <c r="C642" s="3" t="s">
        <v>37</v>
      </c>
      <c r="D642" s="3" t="s">
        <v>1344</v>
      </c>
      <c r="E642" s="3" t="s">
        <v>1342</v>
      </c>
      <c r="F642" s="3" t="s">
        <v>1297</v>
      </c>
      <c r="G642" s="15">
        <v>46133</v>
      </c>
      <c r="H642" s="16">
        <f t="shared" ref="H642:H705" si="20">G642-F642</f>
        <v>331</v>
      </c>
      <c r="I642" s="16" t="str">
        <f t="shared" ref="I642:I705" si="21">+IF(H642&lt;35,"Adimplente",IF(H642&lt;=60,"35 à 60 dias",IF(H642&lt;=90,"61 à 90 dias",IF(H642&lt;=120,"91 à 120 dias",IF(H642&lt;=180,"121 à 180 dias",IF(H642&lt;=240,"181 à 240 dias",IF(H642&lt;=365,"241 à 365 dias","Maior 365 dias")))))))</f>
        <v>241 à 365 dias</v>
      </c>
      <c r="J642" s="11">
        <v>17</v>
      </c>
      <c r="K642" s="8">
        <v>13621.79</v>
      </c>
      <c r="L642" s="5">
        <v>1217.58</v>
      </c>
      <c r="M642" s="8">
        <v>14839.37</v>
      </c>
      <c r="N642" s="5">
        <v>3896.43</v>
      </c>
      <c r="O642" s="7">
        <v>167199.41</v>
      </c>
      <c r="P642" s="3" t="s">
        <v>1</v>
      </c>
      <c r="Q642" s="3" t="s">
        <v>2</v>
      </c>
    </row>
    <row r="643" spans="1:17" x14ac:dyDescent="0.25">
      <c r="A643" s="3" t="s">
        <v>1345</v>
      </c>
      <c r="B643" s="3" t="s">
        <v>1346</v>
      </c>
      <c r="C643" s="3" t="s">
        <v>37</v>
      </c>
      <c r="D643" s="3" t="s">
        <v>1347</v>
      </c>
      <c r="E643" s="3" t="s">
        <v>1348</v>
      </c>
      <c r="F643" s="3" t="s">
        <v>102</v>
      </c>
      <c r="G643" s="15">
        <v>46133</v>
      </c>
      <c r="H643" s="16">
        <f t="shared" si="20"/>
        <v>300</v>
      </c>
      <c r="I643" s="16" t="str">
        <f t="shared" si="21"/>
        <v>241 à 365 dias</v>
      </c>
      <c r="J643" s="11">
        <v>13</v>
      </c>
      <c r="K643" s="5">
        <v>5879.77</v>
      </c>
      <c r="L643" s="6">
        <v>463.38</v>
      </c>
      <c r="M643" s="5">
        <v>6343.15</v>
      </c>
      <c r="N643" s="5">
        <v>1153.57</v>
      </c>
      <c r="O643" s="7">
        <v>125061.58</v>
      </c>
      <c r="P643" s="3" t="s">
        <v>1</v>
      </c>
      <c r="Q643" s="3" t="s">
        <v>2</v>
      </c>
    </row>
    <row r="644" spans="1:17" x14ac:dyDescent="0.25">
      <c r="A644" s="3" t="s">
        <v>1349</v>
      </c>
      <c r="B644" s="3" t="s">
        <v>1350</v>
      </c>
      <c r="C644" s="3" t="s">
        <v>349</v>
      </c>
      <c r="D644" s="3" t="s">
        <v>1351</v>
      </c>
      <c r="E644" s="3" t="s">
        <v>1352</v>
      </c>
      <c r="F644" s="3" t="s">
        <v>102</v>
      </c>
      <c r="G644" s="15">
        <v>46133</v>
      </c>
      <c r="H644" s="16">
        <f t="shared" si="20"/>
        <v>300</v>
      </c>
      <c r="I644" s="16" t="str">
        <f t="shared" si="21"/>
        <v>241 à 365 dias</v>
      </c>
      <c r="J644" s="11">
        <v>11</v>
      </c>
      <c r="K644" s="8">
        <v>20135.16</v>
      </c>
      <c r="L644" s="5">
        <v>1545.73</v>
      </c>
      <c r="M644" s="8">
        <v>21680.89</v>
      </c>
      <c r="N644" s="5">
        <v>2625</v>
      </c>
      <c r="O644" s="7">
        <v>283728.59999999998</v>
      </c>
      <c r="P644" s="3" t="s">
        <v>1</v>
      </c>
      <c r="Q644" s="3" t="s">
        <v>2</v>
      </c>
    </row>
    <row r="645" spans="1:17" x14ac:dyDescent="0.25">
      <c r="A645" s="3" t="s">
        <v>1353</v>
      </c>
      <c r="B645" s="3" t="s">
        <v>1354</v>
      </c>
      <c r="C645" s="3" t="s">
        <v>94</v>
      </c>
      <c r="D645" s="3" t="s">
        <v>1355</v>
      </c>
      <c r="E645" s="3" t="s">
        <v>1356</v>
      </c>
      <c r="F645" s="3" t="s">
        <v>1309</v>
      </c>
      <c r="G645" s="15">
        <v>46133</v>
      </c>
      <c r="H645" s="16">
        <f t="shared" si="20"/>
        <v>315</v>
      </c>
      <c r="I645" s="16" t="str">
        <f t="shared" si="21"/>
        <v>241 à 365 dias</v>
      </c>
      <c r="J645" s="11">
        <v>11</v>
      </c>
      <c r="K645" s="8">
        <v>10244.530000000001</v>
      </c>
      <c r="L645" s="6">
        <v>762.74</v>
      </c>
      <c r="M645" s="8">
        <v>11007.27</v>
      </c>
      <c r="N645" s="5">
        <v>1840.66</v>
      </c>
      <c r="O645" s="7">
        <v>170669.74</v>
      </c>
      <c r="P645" s="3" t="s">
        <v>1</v>
      </c>
      <c r="Q645" s="3" t="s">
        <v>2</v>
      </c>
    </row>
    <row r="646" spans="1:17" x14ac:dyDescent="0.25">
      <c r="A646" s="3" t="s">
        <v>1357</v>
      </c>
      <c r="B646" s="3" t="s">
        <v>1358</v>
      </c>
      <c r="C646" s="3" t="s">
        <v>37</v>
      </c>
      <c r="D646" s="3" t="s">
        <v>1359</v>
      </c>
      <c r="E646" s="3" t="s">
        <v>841</v>
      </c>
      <c r="F646" s="3" t="s">
        <v>1360</v>
      </c>
      <c r="G646" s="15">
        <v>46133</v>
      </c>
      <c r="H646" s="16">
        <f t="shared" si="20"/>
        <v>267</v>
      </c>
      <c r="I646" s="16" t="str">
        <f t="shared" si="21"/>
        <v>241 à 365 dias</v>
      </c>
      <c r="J646" s="11">
        <v>13</v>
      </c>
      <c r="K646" s="5">
        <v>6499.19</v>
      </c>
      <c r="L646" s="6">
        <v>483.09</v>
      </c>
      <c r="M646" s="5">
        <v>6982.28</v>
      </c>
      <c r="N646" s="6">
        <v>516.70000000000005</v>
      </c>
      <c r="O646" s="7">
        <v>129944.06</v>
      </c>
      <c r="P646" s="3" t="s">
        <v>1</v>
      </c>
      <c r="Q646" s="3" t="s">
        <v>2</v>
      </c>
    </row>
    <row r="647" spans="1:17" x14ac:dyDescent="0.25">
      <c r="A647" s="3" t="s">
        <v>1361</v>
      </c>
      <c r="B647" s="3" t="s">
        <v>1358</v>
      </c>
      <c r="C647" s="3" t="s">
        <v>37</v>
      </c>
      <c r="D647" s="3" t="s">
        <v>1362</v>
      </c>
      <c r="E647" s="3" t="s">
        <v>841</v>
      </c>
      <c r="F647" s="3" t="s">
        <v>1360</v>
      </c>
      <c r="G647" s="15">
        <v>46133</v>
      </c>
      <c r="H647" s="16">
        <f t="shared" si="20"/>
        <v>267</v>
      </c>
      <c r="I647" s="16" t="str">
        <f t="shared" si="21"/>
        <v>241 à 365 dias</v>
      </c>
      <c r="J647" s="11">
        <v>13</v>
      </c>
      <c r="K647" s="8">
        <v>11119.08</v>
      </c>
      <c r="L647" s="6">
        <v>826.15</v>
      </c>
      <c r="M647" s="8">
        <v>11945.23</v>
      </c>
      <c r="N647" s="6">
        <v>884.7</v>
      </c>
      <c r="O647" s="7">
        <v>222481.05</v>
      </c>
      <c r="P647" s="3" t="s">
        <v>1</v>
      </c>
      <c r="Q647" s="3" t="s">
        <v>2</v>
      </c>
    </row>
    <row r="648" spans="1:17" x14ac:dyDescent="0.25">
      <c r="A648" s="3" t="s">
        <v>1363</v>
      </c>
      <c r="B648" s="3" t="s">
        <v>1364</v>
      </c>
      <c r="C648" s="3" t="s">
        <v>37</v>
      </c>
      <c r="D648" s="3" t="s">
        <v>1365</v>
      </c>
      <c r="E648" s="3" t="s">
        <v>1366</v>
      </c>
      <c r="F648" s="3" t="s">
        <v>102</v>
      </c>
      <c r="G648" s="15">
        <v>46133</v>
      </c>
      <c r="H648" s="16">
        <f t="shared" si="20"/>
        <v>300</v>
      </c>
      <c r="I648" s="16" t="str">
        <f t="shared" si="21"/>
        <v>241 à 365 dias</v>
      </c>
      <c r="J648" s="11">
        <v>10</v>
      </c>
      <c r="K648" s="5">
        <v>6145.08</v>
      </c>
      <c r="L648" s="6">
        <v>459.52</v>
      </c>
      <c r="M648" s="5">
        <v>6604.6</v>
      </c>
      <c r="N648" s="10">
        <v>0</v>
      </c>
      <c r="O648" s="7">
        <v>110596.48</v>
      </c>
      <c r="P648" s="3" t="s">
        <v>1</v>
      </c>
      <c r="Q648" s="3" t="s">
        <v>2</v>
      </c>
    </row>
    <row r="649" spans="1:17" x14ac:dyDescent="0.25">
      <c r="A649" s="3" t="s">
        <v>1367</v>
      </c>
      <c r="B649" s="3" t="s">
        <v>1368</v>
      </c>
      <c r="C649" s="3" t="s">
        <v>37</v>
      </c>
      <c r="D649" s="3" t="s">
        <v>1369</v>
      </c>
      <c r="E649" s="3" t="s">
        <v>1043</v>
      </c>
      <c r="F649" s="3" t="s">
        <v>1297</v>
      </c>
      <c r="G649" s="15">
        <v>46133</v>
      </c>
      <c r="H649" s="16">
        <f t="shared" si="20"/>
        <v>331</v>
      </c>
      <c r="I649" s="16" t="str">
        <f t="shared" si="21"/>
        <v>241 à 365 dias</v>
      </c>
      <c r="J649" s="11">
        <v>11</v>
      </c>
      <c r="K649" s="5">
        <v>5506.32</v>
      </c>
      <c r="L649" s="6">
        <v>440.58</v>
      </c>
      <c r="M649" s="5">
        <v>5946.9</v>
      </c>
      <c r="N649" s="10">
        <v>0</v>
      </c>
      <c r="O649" s="7">
        <v>120010.9</v>
      </c>
      <c r="P649" s="3" t="s">
        <v>1</v>
      </c>
      <c r="Q649" s="3" t="s">
        <v>2</v>
      </c>
    </row>
    <row r="650" spans="1:17" x14ac:dyDescent="0.25">
      <c r="A650" s="3" t="s">
        <v>1370</v>
      </c>
      <c r="B650" s="3" t="s">
        <v>1368</v>
      </c>
      <c r="C650" s="3" t="s">
        <v>37</v>
      </c>
      <c r="D650" s="3" t="s">
        <v>1371</v>
      </c>
      <c r="E650" s="3" t="s">
        <v>1372</v>
      </c>
      <c r="F650" s="3" t="s">
        <v>702</v>
      </c>
      <c r="G650" s="15">
        <v>46133</v>
      </c>
      <c r="H650" s="16">
        <f t="shared" si="20"/>
        <v>341</v>
      </c>
      <c r="I650" s="16" t="str">
        <f t="shared" si="21"/>
        <v>241 à 365 dias</v>
      </c>
      <c r="J650" s="11">
        <v>12</v>
      </c>
      <c r="K650" s="8">
        <v>10798.56</v>
      </c>
      <c r="L650" s="6">
        <v>846.02</v>
      </c>
      <c r="M650" s="8">
        <v>11644.58</v>
      </c>
      <c r="N650" s="10">
        <v>0</v>
      </c>
      <c r="O650" s="7">
        <v>223695.84</v>
      </c>
      <c r="P650" s="3" t="s">
        <v>1</v>
      </c>
      <c r="Q650" s="3" t="s">
        <v>2</v>
      </c>
    </row>
    <row r="651" spans="1:17" x14ac:dyDescent="0.25">
      <c r="A651" s="3" t="s">
        <v>1373</v>
      </c>
      <c r="B651" s="3" t="s">
        <v>1374</v>
      </c>
      <c r="C651" s="3" t="s">
        <v>37</v>
      </c>
      <c r="D651" s="3" t="s">
        <v>1375</v>
      </c>
      <c r="E651" s="3" t="s">
        <v>660</v>
      </c>
      <c r="F651" s="3" t="s">
        <v>1317</v>
      </c>
      <c r="G651" s="15">
        <v>46133</v>
      </c>
      <c r="H651" s="16">
        <f t="shared" si="20"/>
        <v>270</v>
      </c>
      <c r="I651" s="16" t="str">
        <f t="shared" si="21"/>
        <v>241 à 365 dias</v>
      </c>
      <c r="J651" s="4">
        <v>9</v>
      </c>
      <c r="K651" s="5">
        <v>5351.22</v>
      </c>
      <c r="L651" s="6">
        <v>372.81</v>
      </c>
      <c r="M651" s="5">
        <v>5724.03</v>
      </c>
      <c r="N651" s="10">
        <v>0</v>
      </c>
      <c r="O651" s="7">
        <v>107024.4</v>
      </c>
      <c r="P651" s="3" t="s">
        <v>1</v>
      </c>
      <c r="Q651" s="3" t="s">
        <v>2</v>
      </c>
    </row>
    <row r="652" spans="1:17" x14ac:dyDescent="0.25">
      <c r="A652" s="3" t="s">
        <v>1376</v>
      </c>
      <c r="B652" s="3" t="s">
        <v>1377</v>
      </c>
      <c r="C652" s="3" t="s">
        <v>37</v>
      </c>
      <c r="D652" s="3" t="s">
        <v>1378</v>
      </c>
      <c r="E652" s="3" t="s">
        <v>1379</v>
      </c>
      <c r="F652" s="3" t="s">
        <v>1317</v>
      </c>
      <c r="G652" s="15">
        <v>46133</v>
      </c>
      <c r="H652" s="16">
        <f t="shared" si="20"/>
        <v>270</v>
      </c>
      <c r="I652" s="16" t="str">
        <f t="shared" si="21"/>
        <v>241 à 365 dias</v>
      </c>
      <c r="J652" s="4">
        <v>5</v>
      </c>
      <c r="K652" s="5">
        <v>2666.9</v>
      </c>
      <c r="L652" s="6">
        <v>198.71</v>
      </c>
      <c r="M652" s="5">
        <v>2865.61</v>
      </c>
      <c r="N652" s="5">
        <v>4800.82</v>
      </c>
      <c r="O652" s="7">
        <v>123210.78</v>
      </c>
      <c r="P652" s="3" t="s">
        <v>1</v>
      </c>
      <c r="Q652" s="3" t="s">
        <v>2</v>
      </c>
    </row>
    <row r="653" spans="1:17" x14ac:dyDescent="0.25">
      <c r="A653" s="3" t="s">
        <v>1380</v>
      </c>
      <c r="B653" s="3" t="s">
        <v>1381</v>
      </c>
      <c r="C653" s="3" t="s">
        <v>50</v>
      </c>
      <c r="D653" s="3" t="s">
        <v>1382</v>
      </c>
      <c r="E653" s="3" t="s">
        <v>654</v>
      </c>
      <c r="F653" s="3" t="s">
        <v>1297</v>
      </c>
      <c r="G653" s="15">
        <v>46133</v>
      </c>
      <c r="H653" s="16">
        <f t="shared" si="20"/>
        <v>331</v>
      </c>
      <c r="I653" s="16" t="str">
        <f t="shared" si="21"/>
        <v>241 à 365 dias</v>
      </c>
      <c r="J653" s="4">
        <v>8</v>
      </c>
      <c r="K653" s="8">
        <v>12327.62</v>
      </c>
      <c r="L653" s="5">
        <v>1064.96</v>
      </c>
      <c r="M653" s="5">
        <v>13484.73</v>
      </c>
      <c r="N653" s="5">
        <v>4640.29</v>
      </c>
      <c r="O653" s="7">
        <v>281586.87</v>
      </c>
      <c r="P653" s="3" t="s">
        <v>1</v>
      </c>
      <c r="Q653" s="3" t="s">
        <v>2</v>
      </c>
    </row>
    <row r="654" spans="1:17" x14ac:dyDescent="0.25">
      <c r="A654" s="3" t="s">
        <v>1383</v>
      </c>
      <c r="B654" s="3" t="s">
        <v>1384</v>
      </c>
      <c r="C654" s="3" t="s">
        <v>37</v>
      </c>
      <c r="D654" s="3" t="s">
        <v>1385</v>
      </c>
      <c r="E654" s="3" t="s">
        <v>1386</v>
      </c>
      <c r="F654" s="3" t="s">
        <v>102</v>
      </c>
      <c r="G654" s="15">
        <v>46133</v>
      </c>
      <c r="H654" s="16">
        <f t="shared" si="20"/>
        <v>300</v>
      </c>
      <c r="I654" s="16" t="str">
        <f t="shared" si="21"/>
        <v>241 à 365 dias</v>
      </c>
      <c r="J654" s="11">
        <v>10</v>
      </c>
      <c r="K654" s="5">
        <v>6442.32</v>
      </c>
      <c r="L654" s="6">
        <v>481.7</v>
      </c>
      <c r="M654" s="5">
        <v>6924.02</v>
      </c>
      <c r="N654" s="10">
        <v>0</v>
      </c>
      <c r="O654" s="7">
        <v>115946.12</v>
      </c>
      <c r="P654" s="3" t="s">
        <v>1</v>
      </c>
      <c r="Q654" s="3" t="s">
        <v>2</v>
      </c>
    </row>
    <row r="655" spans="1:17" x14ac:dyDescent="0.25">
      <c r="A655" s="3" t="s">
        <v>1387</v>
      </c>
      <c r="B655" s="3" t="s">
        <v>1388</v>
      </c>
      <c r="C655" s="3" t="s">
        <v>37</v>
      </c>
      <c r="D655" s="3" t="s">
        <v>1389</v>
      </c>
      <c r="E655" s="3" t="s">
        <v>1258</v>
      </c>
      <c r="F655" s="3" t="s">
        <v>857</v>
      </c>
      <c r="G655" s="15">
        <v>46133</v>
      </c>
      <c r="H655" s="16">
        <f t="shared" si="20"/>
        <v>361</v>
      </c>
      <c r="I655" s="16" t="str">
        <f t="shared" si="21"/>
        <v>241 à 365 dias</v>
      </c>
      <c r="J655" s="11">
        <v>12</v>
      </c>
      <c r="K655" s="5">
        <v>6595.29</v>
      </c>
      <c r="L655" s="6">
        <v>556.47</v>
      </c>
      <c r="M655" s="5">
        <v>7151.76</v>
      </c>
      <c r="N655" s="6">
        <v>533.35</v>
      </c>
      <c r="O655" s="7">
        <v>133992.23000000001</v>
      </c>
      <c r="P655" s="3" t="s">
        <v>1</v>
      </c>
      <c r="Q655" s="3" t="s">
        <v>2</v>
      </c>
    </row>
    <row r="656" spans="1:17" x14ac:dyDescent="0.25">
      <c r="A656" s="3" t="s">
        <v>1390</v>
      </c>
      <c r="B656" s="3" t="s">
        <v>1391</v>
      </c>
      <c r="C656" s="3" t="s">
        <v>37</v>
      </c>
      <c r="D656" s="3" t="s">
        <v>1392</v>
      </c>
      <c r="E656" s="3" t="s">
        <v>1342</v>
      </c>
      <c r="F656" s="3" t="s">
        <v>1293</v>
      </c>
      <c r="G656" s="15">
        <v>46133</v>
      </c>
      <c r="H656" s="16">
        <f t="shared" si="20"/>
        <v>275</v>
      </c>
      <c r="I656" s="16" t="str">
        <f t="shared" si="21"/>
        <v>241 à 365 dias</v>
      </c>
      <c r="J656" s="11">
        <v>10</v>
      </c>
      <c r="K656" s="5">
        <v>5517</v>
      </c>
      <c r="L656" s="6">
        <v>366.07</v>
      </c>
      <c r="M656" s="5">
        <v>5883.07</v>
      </c>
      <c r="N656" s="5">
        <v>4255.74</v>
      </c>
      <c r="O656" s="7">
        <v>127994.4</v>
      </c>
      <c r="P656" s="3" t="s">
        <v>1</v>
      </c>
      <c r="Q656" s="3" t="s">
        <v>2</v>
      </c>
    </row>
    <row r="657" spans="1:17" x14ac:dyDescent="0.25">
      <c r="A657" s="3" t="s">
        <v>1284</v>
      </c>
      <c r="B657" s="3" t="s">
        <v>1393</v>
      </c>
      <c r="C657" s="3" t="s">
        <v>37</v>
      </c>
      <c r="D657" s="3" t="s">
        <v>1394</v>
      </c>
      <c r="E657" s="3" t="s">
        <v>1395</v>
      </c>
      <c r="F657" s="3" t="s">
        <v>1317</v>
      </c>
      <c r="G657" s="15">
        <v>46133</v>
      </c>
      <c r="H657" s="16">
        <f t="shared" si="20"/>
        <v>270</v>
      </c>
      <c r="I657" s="16" t="str">
        <f t="shared" si="21"/>
        <v>241 à 365 dias</v>
      </c>
      <c r="J657" s="4">
        <v>8</v>
      </c>
      <c r="K657" s="5">
        <v>6384.32</v>
      </c>
      <c r="L657" s="6">
        <v>424.99</v>
      </c>
      <c r="M657" s="5">
        <v>6809.31</v>
      </c>
      <c r="N657" s="5">
        <v>2096.08</v>
      </c>
      <c r="O657" s="7">
        <v>189933.52</v>
      </c>
      <c r="P657" s="3" t="s">
        <v>1</v>
      </c>
      <c r="Q657" s="3" t="s">
        <v>2</v>
      </c>
    </row>
    <row r="658" spans="1:17" x14ac:dyDescent="0.25">
      <c r="A658" s="3" t="s">
        <v>1281</v>
      </c>
      <c r="B658" s="3" t="s">
        <v>1393</v>
      </c>
      <c r="C658" s="3" t="s">
        <v>37</v>
      </c>
      <c r="D658" s="3" t="s">
        <v>1396</v>
      </c>
      <c r="E658" s="3" t="s">
        <v>319</v>
      </c>
      <c r="F658" s="3" t="s">
        <v>102</v>
      </c>
      <c r="G658" s="15">
        <v>46133</v>
      </c>
      <c r="H658" s="16">
        <f t="shared" si="20"/>
        <v>300</v>
      </c>
      <c r="I658" s="16" t="str">
        <f t="shared" si="21"/>
        <v>241 à 365 dias</v>
      </c>
      <c r="J658" s="11">
        <v>10</v>
      </c>
      <c r="K658" s="5">
        <v>9297.4500000000007</v>
      </c>
      <c r="L658" s="6">
        <v>690.78</v>
      </c>
      <c r="M658" s="5">
        <v>9988.23</v>
      </c>
      <c r="N658" s="10">
        <v>0</v>
      </c>
      <c r="O658" s="7">
        <v>228616.25</v>
      </c>
      <c r="P658" s="3" t="s">
        <v>1</v>
      </c>
      <c r="Q658" s="3" t="s">
        <v>2</v>
      </c>
    </row>
    <row r="659" spans="1:17" x14ac:dyDescent="0.25">
      <c r="A659" s="3" t="s">
        <v>1397</v>
      </c>
      <c r="B659" s="3" t="s">
        <v>1398</v>
      </c>
      <c r="C659" s="3" t="s">
        <v>37</v>
      </c>
      <c r="D659" s="3" t="s">
        <v>1399</v>
      </c>
      <c r="E659" s="3" t="s">
        <v>541</v>
      </c>
      <c r="F659" s="3" t="s">
        <v>554</v>
      </c>
      <c r="G659" s="15">
        <v>46133</v>
      </c>
      <c r="H659" s="16">
        <f t="shared" si="20"/>
        <v>259</v>
      </c>
      <c r="I659" s="16" t="str">
        <f t="shared" si="21"/>
        <v>241 à 365 dias</v>
      </c>
      <c r="J659" s="4">
        <v>9</v>
      </c>
      <c r="K659" s="5">
        <v>5429.34</v>
      </c>
      <c r="L659" s="6">
        <v>358.02</v>
      </c>
      <c r="M659" s="5">
        <v>5787.36</v>
      </c>
      <c r="N659" s="10">
        <v>0</v>
      </c>
      <c r="O659" s="7">
        <v>111555.36</v>
      </c>
      <c r="P659" s="3" t="s">
        <v>1</v>
      </c>
      <c r="Q659" s="3" t="s">
        <v>2</v>
      </c>
    </row>
    <row r="660" spans="1:17" x14ac:dyDescent="0.25">
      <c r="A660" s="3" t="s">
        <v>1400</v>
      </c>
      <c r="B660" s="3" t="s">
        <v>1401</v>
      </c>
      <c r="C660" s="3" t="s">
        <v>128</v>
      </c>
      <c r="D660" s="3" t="s">
        <v>1402</v>
      </c>
      <c r="E660" s="3" t="s">
        <v>1403</v>
      </c>
      <c r="F660" s="3" t="s">
        <v>1237</v>
      </c>
      <c r="G660" s="15">
        <v>46133</v>
      </c>
      <c r="H660" s="16">
        <f t="shared" si="20"/>
        <v>265</v>
      </c>
      <c r="I660" s="16" t="str">
        <f t="shared" si="21"/>
        <v>241 à 365 dias</v>
      </c>
      <c r="J660" s="11">
        <v>16</v>
      </c>
      <c r="K660" s="8">
        <v>20717.28</v>
      </c>
      <c r="L660" s="5">
        <v>1848.07</v>
      </c>
      <c r="M660" s="8">
        <v>22565.35</v>
      </c>
      <c r="N660" s="8">
        <v>17418.759999999998</v>
      </c>
      <c r="O660" s="7">
        <v>273290.76</v>
      </c>
      <c r="P660" s="3" t="s">
        <v>1</v>
      </c>
      <c r="Q660" s="3" t="s">
        <v>2</v>
      </c>
    </row>
    <row r="661" spans="1:17" x14ac:dyDescent="0.25">
      <c r="A661" s="3" t="s">
        <v>1404</v>
      </c>
      <c r="B661" s="3" t="s">
        <v>1405</v>
      </c>
      <c r="C661" s="3" t="s">
        <v>50</v>
      </c>
      <c r="D661" s="3" t="s">
        <v>1406</v>
      </c>
      <c r="E661" s="3" t="s">
        <v>664</v>
      </c>
      <c r="F661" s="3" t="s">
        <v>1297</v>
      </c>
      <c r="G661" s="15">
        <v>46133</v>
      </c>
      <c r="H661" s="16">
        <f t="shared" si="20"/>
        <v>331</v>
      </c>
      <c r="I661" s="16" t="str">
        <f t="shared" si="21"/>
        <v>241 à 365 dias</v>
      </c>
      <c r="J661" s="4">
        <v>9</v>
      </c>
      <c r="K661" s="8">
        <v>13286.65</v>
      </c>
      <c r="L661" s="5">
        <v>1138.72</v>
      </c>
      <c r="M661" s="5">
        <v>14518.73</v>
      </c>
      <c r="N661" s="5">
        <v>4597.32</v>
      </c>
      <c r="O661" s="7">
        <v>270044.40999999997</v>
      </c>
      <c r="P661" s="3" t="s">
        <v>1</v>
      </c>
      <c r="Q661" s="3" t="s">
        <v>2</v>
      </c>
    </row>
    <row r="662" spans="1:17" x14ac:dyDescent="0.25">
      <c r="A662" s="3" t="s">
        <v>1407</v>
      </c>
      <c r="B662" s="3" t="s">
        <v>1405</v>
      </c>
      <c r="C662" s="3" t="s">
        <v>50</v>
      </c>
      <c r="D662" s="3" t="s">
        <v>1408</v>
      </c>
      <c r="E662" s="3" t="s">
        <v>664</v>
      </c>
      <c r="F662" s="3" t="s">
        <v>702</v>
      </c>
      <c r="G662" s="15">
        <v>46133</v>
      </c>
      <c r="H662" s="16">
        <f t="shared" si="20"/>
        <v>341</v>
      </c>
      <c r="I662" s="16" t="str">
        <f t="shared" si="21"/>
        <v>241 à 365 dias</v>
      </c>
      <c r="J662" s="11">
        <v>10</v>
      </c>
      <c r="K662" s="8">
        <v>14596.3</v>
      </c>
      <c r="L662" s="5">
        <v>1232.78</v>
      </c>
      <c r="M662" s="5">
        <v>15977.86</v>
      </c>
      <c r="N662" s="5">
        <v>4471.57</v>
      </c>
      <c r="O662" s="7">
        <v>267198.83</v>
      </c>
      <c r="P662" s="3" t="s">
        <v>1</v>
      </c>
      <c r="Q662" s="3" t="s">
        <v>2</v>
      </c>
    </row>
    <row r="663" spans="1:17" x14ac:dyDescent="0.25">
      <c r="A663" s="3" t="s">
        <v>1409</v>
      </c>
      <c r="B663" s="3" t="s">
        <v>1410</v>
      </c>
      <c r="C663" s="3" t="s">
        <v>37</v>
      </c>
      <c r="D663" s="3" t="s">
        <v>1411</v>
      </c>
      <c r="E663" s="3" t="s">
        <v>1412</v>
      </c>
      <c r="F663" s="3" t="s">
        <v>1317</v>
      </c>
      <c r="G663" s="15">
        <v>46133</v>
      </c>
      <c r="H663" s="16">
        <f t="shared" si="20"/>
        <v>270</v>
      </c>
      <c r="I663" s="16" t="str">
        <f t="shared" si="21"/>
        <v>241 à 365 dias</v>
      </c>
      <c r="J663" s="4">
        <v>8</v>
      </c>
      <c r="K663" s="5">
        <v>7392.3</v>
      </c>
      <c r="L663" s="6">
        <v>502.63</v>
      </c>
      <c r="M663" s="5">
        <v>7894.93</v>
      </c>
      <c r="N663" s="5">
        <v>3590.89</v>
      </c>
      <c r="O663" s="7">
        <v>222086.22</v>
      </c>
      <c r="P663" s="3" t="s">
        <v>1</v>
      </c>
      <c r="Q663" s="3" t="s">
        <v>2</v>
      </c>
    </row>
    <row r="664" spans="1:17" x14ac:dyDescent="0.25">
      <c r="A664" s="3" t="s">
        <v>1413</v>
      </c>
      <c r="B664" s="3" t="s">
        <v>1414</v>
      </c>
      <c r="C664" s="3" t="s">
        <v>37</v>
      </c>
      <c r="D664" s="3" t="s">
        <v>1415</v>
      </c>
      <c r="E664" s="3" t="s">
        <v>319</v>
      </c>
      <c r="F664" s="3" t="s">
        <v>102</v>
      </c>
      <c r="G664" s="15">
        <v>46133</v>
      </c>
      <c r="H664" s="16">
        <f t="shared" si="20"/>
        <v>300</v>
      </c>
      <c r="I664" s="16" t="str">
        <f t="shared" si="21"/>
        <v>241 à 365 dias</v>
      </c>
      <c r="J664" s="11">
        <v>10</v>
      </c>
      <c r="K664" s="5">
        <v>5174.2700000000004</v>
      </c>
      <c r="L664" s="6">
        <v>384.49</v>
      </c>
      <c r="M664" s="5">
        <v>5558.76</v>
      </c>
      <c r="N664" s="10">
        <v>0</v>
      </c>
      <c r="O664" s="7">
        <v>127230.67</v>
      </c>
      <c r="P664" s="3" t="s">
        <v>1</v>
      </c>
      <c r="Q664" s="3" t="s">
        <v>2</v>
      </c>
    </row>
    <row r="665" spans="1:17" x14ac:dyDescent="0.25">
      <c r="A665" s="3" t="s">
        <v>1416</v>
      </c>
      <c r="B665" s="3" t="s">
        <v>1417</v>
      </c>
      <c r="C665" s="3" t="s">
        <v>37</v>
      </c>
      <c r="D665" s="3" t="s">
        <v>1418</v>
      </c>
      <c r="E665" s="3" t="s">
        <v>1419</v>
      </c>
      <c r="F665" s="3" t="s">
        <v>1297</v>
      </c>
      <c r="G665" s="15">
        <v>46133</v>
      </c>
      <c r="H665" s="16">
        <f t="shared" si="20"/>
        <v>331</v>
      </c>
      <c r="I665" s="16" t="str">
        <f t="shared" si="21"/>
        <v>241 à 365 dias</v>
      </c>
      <c r="J665" s="11">
        <v>11</v>
      </c>
      <c r="K665" s="5">
        <v>5683.74</v>
      </c>
      <c r="L665" s="6">
        <v>451.43</v>
      </c>
      <c r="M665" s="5">
        <v>6135.17</v>
      </c>
      <c r="N665" s="10">
        <v>0</v>
      </c>
      <c r="O665" s="7">
        <v>127209.46</v>
      </c>
      <c r="P665" s="3" t="s">
        <v>1</v>
      </c>
      <c r="Q665" s="3" t="s">
        <v>2</v>
      </c>
    </row>
    <row r="666" spans="1:17" x14ac:dyDescent="0.25">
      <c r="A666" s="3" t="s">
        <v>1420</v>
      </c>
      <c r="B666" s="3" t="s">
        <v>1421</v>
      </c>
      <c r="C666" s="3" t="s">
        <v>128</v>
      </c>
      <c r="D666" s="3" t="s">
        <v>1422</v>
      </c>
      <c r="E666" s="3" t="s">
        <v>1423</v>
      </c>
      <c r="F666" s="3" t="s">
        <v>1293</v>
      </c>
      <c r="G666" s="15">
        <v>46133</v>
      </c>
      <c r="H666" s="16">
        <f t="shared" si="20"/>
        <v>275</v>
      </c>
      <c r="I666" s="16" t="str">
        <f t="shared" si="21"/>
        <v>241 à 365 dias</v>
      </c>
      <c r="J666" s="11">
        <v>10</v>
      </c>
      <c r="K666" s="8">
        <v>18743.900000000001</v>
      </c>
      <c r="L666" s="5">
        <v>1244.79</v>
      </c>
      <c r="M666" s="8">
        <v>19988.689999999999</v>
      </c>
      <c r="N666" s="8">
        <v>13777.88</v>
      </c>
      <c r="O666" s="7">
        <v>335515.81</v>
      </c>
      <c r="P666" s="3" t="s">
        <v>1</v>
      </c>
      <c r="Q666" s="3" t="s">
        <v>2</v>
      </c>
    </row>
    <row r="667" spans="1:17" x14ac:dyDescent="0.25">
      <c r="A667" s="3" t="s">
        <v>651</v>
      </c>
      <c r="B667" s="3" t="s">
        <v>1424</v>
      </c>
      <c r="C667" s="3" t="s">
        <v>37</v>
      </c>
      <c r="D667" s="3" t="s">
        <v>1425</v>
      </c>
      <c r="E667" s="3" t="s">
        <v>707</v>
      </c>
      <c r="F667" s="3" t="s">
        <v>530</v>
      </c>
      <c r="G667" s="15">
        <v>46133</v>
      </c>
      <c r="H667" s="16">
        <f t="shared" si="20"/>
        <v>346</v>
      </c>
      <c r="I667" s="16" t="str">
        <f t="shared" si="21"/>
        <v>241 à 365 dias</v>
      </c>
      <c r="J667" s="11">
        <v>12</v>
      </c>
      <c r="K667" s="5">
        <v>6634.88</v>
      </c>
      <c r="L667" s="6">
        <v>526.27</v>
      </c>
      <c r="M667" s="5">
        <v>7161.15</v>
      </c>
      <c r="N667" s="5">
        <v>1066.7</v>
      </c>
      <c r="O667" s="7">
        <v>133470.6</v>
      </c>
      <c r="P667" s="3" t="s">
        <v>1</v>
      </c>
      <c r="Q667" s="3" t="s">
        <v>2</v>
      </c>
    </row>
    <row r="668" spans="1:17" x14ac:dyDescent="0.25">
      <c r="A668" s="3" t="s">
        <v>1426</v>
      </c>
      <c r="B668" s="3" t="s">
        <v>1427</v>
      </c>
      <c r="C668" s="3" t="s">
        <v>37</v>
      </c>
      <c r="D668" s="3" t="s">
        <v>1428</v>
      </c>
      <c r="E668" s="3" t="s">
        <v>1429</v>
      </c>
      <c r="F668" s="3" t="s">
        <v>1293</v>
      </c>
      <c r="G668" s="15">
        <v>46133</v>
      </c>
      <c r="H668" s="16">
        <f t="shared" si="20"/>
        <v>275</v>
      </c>
      <c r="I668" s="16" t="str">
        <f t="shared" si="21"/>
        <v>241 à 365 dias</v>
      </c>
      <c r="J668" s="11">
        <v>10</v>
      </c>
      <c r="K668" s="5">
        <v>5231.2</v>
      </c>
      <c r="L668" s="6">
        <v>346.46</v>
      </c>
      <c r="M668" s="5">
        <v>5577.66</v>
      </c>
      <c r="N668" s="5">
        <v>3994.69</v>
      </c>
      <c r="O668" s="7">
        <v>121363.84</v>
      </c>
      <c r="P668" s="3" t="s">
        <v>1</v>
      </c>
      <c r="Q668" s="3" t="s">
        <v>2</v>
      </c>
    </row>
    <row r="669" spans="1:17" x14ac:dyDescent="0.25">
      <c r="A669" s="3" t="s">
        <v>1430</v>
      </c>
      <c r="B669" s="3" t="s">
        <v>1431</v>
      </c>
      <c r="C669" s="3" t="s">
        <v>37</v>
      </c>
      <c r="D669" s="3" t="s">
        <v>1432</v>
      </c>
      <c r="E669" s="3" t="s">
        <v>720</v>
      </c>
      <c r="F669" s="3" t="s">
        <v>1293</v>
      </c>
      <c r="G669" s="15">
        <v>46133</v>
      </c>
      <c r="H669" s="16">
        <f t="shared" si="20"/>
        <v>275</v>
      </c>
      <c r="I669" s="16" t="str">
        <f t="shared" si="21"/>
        <v>241 à 365 dias</v>
      </c>
      <c r="J669" s="11">
        <v>15</v>
      </c>
      <c r="K669" s="5">
        <v>6484.95</v>
      </c>
      <c r="L669" s="6">
        <v>454.73</v>
      </c>
      <c r="M669" s="5">
        <v>6939.68</v>
      </c>
      <c r="N669" s="5">
        <v>2684.43</v>
      </c>
      <c r="O669" s="7">
        <v>123194.23</v>
      </c>
      <c r="P669" s="3" t="s">
        <v>1</v>
      </c>
      <c r="Q669" s="3" t="s">
        <v>2</v>
      </c>
    </row>
    <row r="670" spans="1:17" x14ac:dyDescent="0.25">
      <c r="A670" s="3" t="s">
        <v>945</v>
      </c>
      <c r="B670" s="3" t="s">
        <v>696</v>
      </c>
      <c r="C670" s="3" t="s">
        <v>37</v>
      </c>
      <c r="D670" s="3" t="s">
        <v>1433</v>
      </c>
      <c r="E670" s="3" t="s">
        <v>1434</v>
      </c>
      <c r="F670" s="3" t="s">
        <v>857</v>
      </c>
      <c r="G670" s="15">
        <v>46133</v>
      </c>
      <c r="H670" s="16">
        <f t="shared" si="20"/>
        <v>361</v>
      </c>
      <c r="I670" s="16" t="str">
        <f t="shared" si="21"/>
        <v>241 à 365 dias</v>
      </c>
      <c r="J670" s="11">
        <v>12</v>
      </c>
      <c r="K670" s="8">
        <v>11886.18</v>
      </c>
      <c r="L670" s="5">
        <v>1004.85</v>
      </c>
      <c r="M670" s="8">
        <v>12891.03</v>
      </c>
      <c r="N670" s="6">
        <v>958.49</v>
      </c>
      <c r="O670" s="7">
        <v>240808.87</v>
      </c>
      <c r="P670" s="3" t="s">
        <v>1</v>
      </c>
      <c r="Q670" s="3" t="s">
        <v>2</v>
      </c>
    </row>
    <row r="671" spans="1:17" x14ac:dyDescent="0.25">
      <c r="A671" s="3" t="s">
        <v>1044</v>
      </c>
      <c r="B671" s="3" t="s">
        <v>1435</v>
      </c>
      <c r="C671" s="3" t="s">
        <v>50</v>
      </c>
      <c r="D671" s="3" t="s">
        <v>1436</v>
      </c>
      <c r="E671" s="3" t="s">
        <v>1437</v>
      </c>
      <c r="F671" s="3" t="s">
        <v>1234</v>
      </c>
      <c r="G671" s="15">
        <v>46133</v>
      </c>
      <c r="H671" s="16">
        <f t="shared" si="20"/>
        <v>249</v>
      </c>
      <c r="I671" s="16" t="str">
        <f t="shared" si="21"/>
        <v>241 à 365 dias</v>
      </c>
      <c r="J671" s="11">
        <v>18</v>
      </c>
      <c r="K671" s="8">
        <v>15798.98</v>
      </c>
      <c r="L671" s="5">
        <v>1098.93</v>
      </c>
      <c r="M671" s="5">
        <v>17200.62</v>
      </c>
      <c r="N671" s="8">
        <v>12070.26</v>
      </c>
      <c r="O671" s="7">
        <v>290797.26</v>
      </c>
      <c r="P671" s="3" t="s">
        <v>1</v>
      </c>
      <c r="Q671" s="3" t="s">
        <v>2</v>
      </c>
    </row>
    <row r="672" spans="1:17" x14ac:dyDescent="0.25">
      <c r="A672" s="3" t="s">
        <v>1438</v>
      </c>
      <c r="B672" s="3" t="s">
        <v>1439</v>
      </c>
      <c r="C672" s="3" t="s">
        <v>164</v>
      </c>
      <c r="D672" s="3" t="s">
        <v>1440</v>
      </c>
      <c r="E672" s="3" t="s">
        <v>166</v>
      </c>
      <c r="F672" s="3" t="s">
        <v>161</v>
      </c>
      <c r="G672" s="15">
        <v>46133</v>
      </c>
      <c r="H672" s="16">
        <f t="shared" si="20"/>
        <v>280</v>
      </c>
      <c r="I672" s="16" t="str">
        <f t="shared" si="21"/>
        <v>241 à 365 dias</v>
      </c>
      <c r="J672" s="11">
        <v>10</v>
      </c>
      <c r="K672" s="8">
        <v>25188.04</v>
      </c>
      <c r="L672" s="5">
        <v>1718.45</v>
      </c>
      <c r="M672" s="8">
        <v>26906.49</v>
      </c>
      <c r="N672" s="5">
        <v>7011.12</v>
      </c>
      <c r="O672" s="7">
        <v>124209.04</v>
      </c>
      <c r="P672" s="3" t="s">
        <v>1</v>
      </c>
      <c r="Q672" s="3" t="s">
        <v>2</v>
      </c>
    </row>
    <row r="673" spans="1:17" x14ac:dyDescent="0.25">
      <c r="A673" s="3" t="s">
        <v>1441</v>
      </c>
      <c r="B673" s="3" t="s">
        <v>1439</v>
      </c>
      <c r="C673" s="3" t="s">
        <v>164</v>
      </c>
      <c r="D673" s="3" t="s">
        <v>1442</v>
      </c>
      <c r="E673" s="3" t="s">
        <v>166</v>
      </c>
      <c r="F673" s="3" t="s">
        <v>161</v>
      </c>
      <c r="G673" s="15">
        <v>46133</v>
      </c>
      <c r="H673" s="16">
        <f t="shared" si="20"/>
        <v>280</v>
      </c>
      <c r="I673" s="16" t="str">
        <f t="shared" si="21"/>
        <v>241 à 365 dias</v>
      </c>
      <c r="J673" s="11">
        <v>10</v>
      </c>
      <c r="K673" s="8">
        <v>25188.04</v>
      </c>
      <c r="L673" s="5">
        <v>1718.45</v>
      </c>
      <c r="M673" s="8">
        <v>26906.49</v>
      </c>
      <c r="N673" s="5">
        <v>7011.12</v>
      </c>
      <c r="O673" s="7">
        <v>124209.04</v>
      </c>
      <c r="P673" s="3" t="s">
        <v>1</v>
      </c>
      <c r="Q673" s="3" t="s">
        <v>2</v>
      </c>
    </row>
    <row r="674" spans="1:17" x14ac:dyDescent="0.25">
      <c r="A674" s="3" t="s">
        <v>1443</v>
      </c>
      <c r="B674" s="3" t="s">
        <v>1439</v>
      </c>
      <c r="C674" s="3" t="s">
        <v>164</v>
      </c>
      <c r="D674" s="3" t="s">
        <v>1444</v>
      </c>
      <c r="E674" s="3" t="s">
        <v>166</v>
      </c>
      <c r="F674" s="3" t="s">
        <v>161</v>
      </c>
      <c r="G674" s="15">
        <v>46133</v>
      </c>
      <c r="H674" s="16">
        <f t="shared" si="20"/>
        <v>280</v>
      </c>
      <c r="I674" s="16" t="str">
        <f t="shared" si="21"/>
        <v>241 à 365 dias</v>
      </c>
      <c r="J674" s="11">
        <v>10</v>
      </c>
      <c r="K674" s="8">
        <v>25188.05</v>
      </c>
      <c r="L674" s="5">
        <v>1718.45</v>
      </c>
      <c r="M674" s="8">
        <v>26906.5</v>
      </c>
      <c r="N674" s="5">
        <v>7011.13</v>
      </c>
      <c r="O674" s="7">
        <v>124209.05</v>
      </c>
      <c r="P674" s="3" t="s">
        <v>1</v>
      </c>
      <c r="Q674" s="3" t="s">
        <v>2</v>
      </c>
    </row>
    <row r="675" spans="1:17" x14ac:dyDescent="0.25">
      <c r="A675" s="3" t="s">
        <v>1445</v>
      </c>
      <c r="B675" s="3" t="s">
        <v>1446</v>
      </c>
      <c r="C675" s="3" t="s">
        <v>37</v>
      </c>
      <c r="D675" s="3" t="s">
        <v>1447</v>
      </c>
      <c r="E675" s="3" t="s">
        <v>1448</v>
      </c>
      <c r="F675" s="3" t="s">
        <v>1449</v>
      </c>
      <c r="G675" s="15">
        <v>46133</v>
      </c>
      <c r="H675" s="16">
        <f t="shared" si="20"/>
        <v>244</v>
      </c>
      <c r="I675" s="16" t="str">
        <f t="shared" si="21"/>
        <v>241 à 365 dias</v>
      </c>
      <c r="J675" s="4">
        <v>9</v>
      </c>
      <c r="K675" s="5">
        <v>5429.34</v>
      </c>
      <c r="L675" s="6">
        <v>330.3</v>
      </c>
      <c r="M675" s="5">
        <v>5759.64</v>
      </c>
      <c r="N675" s="10">
        <v>0</v>
      </c>
      <c r="O675" s="7">
        <v>111555.36</v>
      </c>
      <c r="P675" s="3" t="s">
        <v>1</v>
      </c>
      <c r="Q675" s="3" t="s">
        <v>2</v>
      </c>
    </row>
    <row r="676" spans="1:17" x14ac:dyDescent="0.25">
      <c r="A676" s="3" t="s">
        <v>1380</v>
      </c>
      <c r="B676" s="3" t="s">
        <v>1450</v>
      </c>
      <c r="C676" s="3" t="s">
        <v>37</v>
      </c>
      <c r="D676" s="3" t="s">
        <v>1451</v>
      </c>
      <c r="E676" s="3" t="s">
        <v>1452</v>
      </c>
      <c r="F676" s="3" t="s">
        <v>102</v>
      </c>
      <c r="G676" s="15">
        <v>46133</v>
      </c>
      <c r="H676" s="16">
        <f t="shared" si="20"/>
        <v>300</v>
      </c>
      <c r="I676" s="16" t="str">
        <f t="shared" si="21"/>
        <v>241 à 365 dias</v>
      </c>
      <c r="J676" s="11">
        <v>13</v>
      </c>
      <c r="K676" s="5">
        <v>7031.7</v>
      </c>
      <c r="L676" s="6">
        <v>610.74</v>
      </c>
      <c r="M676" s="5">
        <v>7642.44</v>
      </c>
      <c r="N676" s="10">
        <v>0</v>
      </c>
      <c r="O676" s="7">
        <v>126213.51</v>
      </c>
      <c r="P676" s="3" t="s">
        <v>1</v>
      </c>
      <c r="Q676" s="3" t="s">
        <v>2</v>
      </c>
    </row>
    <row r="677" spans="1:17" x14ac:dyDescent="0.25">
      <c r="A677" s="3" t="s">
        <v>1453</v>
      </c>
      <c r="B677" s="3" t="s">
        <v>1454</v>
      </c>
      <c r="C677" s="3" t="s">
        <v>37</v>
      </c>
      <c r="D677" s="3" t="s">
        <v>1455</v>
      </c>
      <c r="E677" s="3" t="s">
        <v>1456</v>
      </c>
      <c r="F677" s="3" t="s">
        <v>102</v>
      </c>
      <c r="G677" s="15">
        <v>46133</v>
      </c>
      <c r="H677" s="16">
        <f t="shared" si="20"/>
        <v>300</v>
      </c>
      <c r="I677" s="16" t="str">
        <f t="shared" si="21"/>
        <v>241 à 365 dias</v>
      </c>
      <c r="J677" s="4">
        <v>6</v>
      </c>
      <c r="K677" s="5">
        <v>4522.16</v>
      </c>
      <c r="L677" s="6">
        <v>352.37</v>
      </c>
      <c r="M677" s="5">
        <v>4874.53</v>
      </c>
      <c r="N677" s="5">
        <v>3037.78</v>
      </c>
      <c r="O677" s="7">
        <v>183285.06</v>
      </c>
      <c r="P677" s="3" t="s">
        <v>1</v>
      </c>
      <c r="Q677" s="3" t="s">
        <v>2</v>
      </c>
    </row>
    <row r="678" spans="1:17" x14ac:dyDescent="0.25">
      <c r="A678" s="3" t="s">
        <v>1457</v>
      </c>
      <c r="B678" s="3" t="s">
        <v>1458</v>
      </c>
      <c r="C678" s="3" t="s">
        <v>37</v>
      </c>
      <c r="D678" s="3" t="s">
        <v>1459</v>
      </c>
      <c r="E678" s="3" t="s">
        <v>1460</v>
      </c>
      <c r="F678" s="3" t="s">
        <v>1461</v>
      </c>
      <c r="G678" s="15">
        <v>46133</v>
      </c>
      <c r="H678" s="16">
        <f t="shared" si="20"/>
        <v>320</v>
      </c>
      <c r="I678" s="16" t="str">
        <f t="shared" si="21"/>
        <v>241 à 365 dias</v>
      </c>
      <c r="J678" s="11">
        <v>11</v>
      </c>
      <c r="K678" s="5">
        <v>5320.31</v>
      </c>
      <c r="L678" s="6">
        <v>411.02</v>
      </c>
      <c r="M678" s="5">
        <v>5731.33</v>
      </c>
      <c r="N678" s="5">
        <v>1070.48</v>
      </c>
      <c r="O678" s="7">
        <v>115040.76</v>
      </c>
      <c r="P678" s="3" t="s">
        <v>1</v>
      </c>
      <c r="Q678" s="3" t="s">
        <v>2</v>
      </c>
    </row>
    <row r="679" spans="1:17" x14ac:dyDescent="0.25">
      <c r="A679" s="3" t="s">
        <v>1462</v>
      </c>
      <c r="B679" s="3" t="s">
        <v>1463</v>
      </c>
      <c r="C679" s="3" t="s">
        <v>37</v>
      </c>
      <c r="D679" s="3" t="s">
        <v>1464</v>
      </c>
      <c r="E679" s="3" t="s">
        <v>1465</v>
      </c>
      <c r="F679" s="3" t="s">
        <v>857</v>
      </c>
      <c r="G679" s="15">
        <v>46133</v>
      </c>
      <c r="H679" s="16">
        <f t="shared" si="20"/>
        <v>361</v>
      </c>
      <c r="I679" s="16" t="str">
        <f t="shared" si="21"/>
        <v>241 à 365 dias</v>
      </c>
      <c r="J679" s="11">
        <v>15</v>
      </c>
      <c r="K679" s="5">
        <v>6946.36</v>
      </c>
      <c r="L679" s="6">
        <v>625.39</v>
      </c>
      <c r="M679" s="5">
        <v>7571.75</v>
      </c>
      <c r="N679" s="5">
        <v>1053.47</v>
      </c>
      <c r="O679" s="7">
        <v>125078.11</v>
      </c>
      <c r="P679" s="3" t="s">
        <v>1</v>
      </c>
      <c r="Q679" s="3" t="s">
        <v>2</v>
      </c>
    </row>
    <row r="680" spans="1:17" x14ac:dyDescent="0.25">
      <c r="A680" s="3" t="s">
        <v>1466</v>
      </c>
      <c r="B680" s="3" t="s">
        <v>1467</v>
      </c>
      <c r="C680" s="3" t="s">
        <v>37</v>
      </c>
      <c r="D680" s="3" t="s">
        <v>1468</v>
      </c>
      <c r="E680" s="3" t="s">
        <v>1469</v>
      </c>
      <c r="F680" s="3" t="s">
        <v>102</v>
      </c>
      <c r="G680" s="15">
        <v>46133</v>
      </c>
      <c r="H680" s="16">
        <f t="shared" si="20"/>
        <v>300</v>
      </c>
      <c r="I680" s="16" t="str">
        <f t="shared" si="21"/>
        <v>241 à 365 dias</v>
      </c>
      <c r="J680" s="11">
        <v>10</v>
      </c>
      <c r="K680" s="5">
        <v>7499.62</v>
      </c>
      <c r="L680" s="6">
        <v>558.09</v>
      </c>
      <c r="M680" s="5">
        <v>8057.71</v>
      </c>
      <c r="N680" s="10">
        <v>0</v>
      </c>
      <c r="O680" s="7">
        <v>184836.52</v>
      </c>
      <c r="P680" s="3" t="s">
        <v>1</v>
      </c>
      <c r="Q680" s="3" t="s">
        <v>2</v>
      </c>
    </row>
    <row r="681" spans="1:17" x14ac:dyDescent="0.25">
      <c r="A681" s="3" t="s">
        <v>1470</v>
      </c>
      <c r="B681" s="3" t="s">
        <v>1471</v>
      </c>
      <c r="C681" s="3" t="s">
        <v>50</v>
      </c>
      <c r="D681" s="3" t="s">
        <v>1472</v>
      </c>
      <c r="E681" s="3" t="s">
        <v>1473</v>
      </c>
      <c r="F681" s="3" t="s">
        <v>1317</v>
      </c>
      <c r="G681" s="15">
        <v>46133</v>
      </c>
      <c r="H681" s="16">
        <f t="shared" si="20"/>
        <v>270</v>
      </c>
      <c r="I681" s="16" t="str">
        <f t="shared" si="21"/>
        <v>241 à 365 dias</v>
      </c>
      <c r="J681" s="11">
        <v>14</v>
      </c>
      <c r="K681" s="8">
        <v>16209.48</v>
      </c>
      <c r="L681" s="5">
        <v>1278.77</v>
      </c>
      <c r="M681" s="5">
        <v>17595.48</v>
      </c>
      <c r="N681" s="8">
        <v>14502.24</v>
      </c>
      <c r="O681" s="7">
        <v>255031.34</v>
      </c>
      <c r="P681" s="3" t="s">
        <v>1</v>
      </c>
      <c r="Q681" s="3" t="s">
        <v>2</v>
      </c>
    </row>
    <row r="682" spans="1:17" x14ac:dyDescent="0.25">
      <c r="A682" s="3" t="s">
        <v>1474</v>
      </c>
      <c r="B682" s="3" t="s">
        <v>1471</v>
      </c>
      <c r="C682" s="3" t="s">
        <v>50</v>
      </c>
      <c r="D682" s="3" t="s">
        <v>1475</v>
      </c>
      <c r="E682" s="3" t="s">
        <v>1473</v>
      </c>
      <c r="F682" s="3" t="s">
        <v>1317</v>
      </c>
      <c r="G682" s="15">
        <v>46133</v>
      </c>
      <c r="H682" s="16">
        <f t="shared" si="20"/>
        <v>270</v>
      </c>
      <c r="I682" s="16" t="str">
        <f t="shared" si="21"/>
        <v>241 à 365 dias</v>
      </c>
      <c r="J682" s="11">
        <v>14</v>
      </c>
      <c r="K682" s="8">
        <v>18711.72</v>
      </c>
      <c r="L682" s="5">
        <v>1482.02</v>
      </c>
      <c r="M682" s="5">
        <v>20315.32</v>
      </c>
      <c r="N682" s="8">
        <v>16018.26</v>
      </c>
      <c r="O682" s="7">
        <v>289008.7</v>
      </c>
      <c r="P682" s="3" t="s">
        <v>1</v>
      </c>
      <c r="Q682" s="3" t="s">
        <v>2</v>
      </c>
    </row>
    <row r="683" spans="1:17" x14ac:dyDescent="0.25">
      <c r="A683" s="3" t="s">
        <v>377</v>
      </c>
      <c r="B683" s="3" t="s">
        <v>1476</v>
      </c>
      <c r="C683" s="3" t="s">
        <v>37</v>
      </c>
      <c r="D683" s="3" t="s">
        <v>1477</v>
      </c>
      <c r="E683" s="3" t="s">
        <v>1356</v>
      </c>
      <c r="F683" s="3" t="s">
        <v>554</v>
      </c>
      <c r="G683" s="15">
        <v>46133</v>
      </c>
      <c r="H683" s="16">
        <f t="shared" si="20"/>
        <v>259</v>
      </c>
      <c r="I683" s="16" t="str">
        <f t="shared" si="21"/>
        <v>241 à 365 dias</v>
      </c>
      <c r="J683" s="4">
        <v>9</v>
      </c>
      <c r="K683" s="5">
        <v>5700.9</v>
      </c>
      <c r="L683" s="6">
        <v>375.96</v>
      </c>
      <c r="M683" s="5">
        <v>6076.86</v>
      </c>
      <c r="N683" s="10">
        <v>0</v>
      </c>
      <c r="O683" s="7">
        <v>117134.76</v>
      </c>
      <c r="P683" s="3" t="s">
        <v>1</v>
      </c>
      <c r="Q683" s="3" t="s">
        <v>2</v>
      </c>
    </row>
    <row r="684" spans="1:17" x14ac:dyDescent="0.25">
      <c r="A684" s="3" t="s">
        <v>1407</v>
      </c>
      <c r="B684" s="3" t="s">
        <v>504</v>
      </c>
      <c r="C684" s="3" t="s">
        <v>37</v>
      </c>
      <c r="D684" s="3" t="s">
        <v>1478</v>
      </c>
      <c r="E684" s="3" t="s">
        <v>275</v>
      </c>
      <c r="F684" s="3" t="s">
        <v>1297</v>
      </c>
      <c r="G684" s="15">
        <v>46133</v>
      </c>
      <c r="H684" s="16">
        <f t="shared" si="20"/>
        <v>331</v>
      </c>
      <c r="I684" s="16" t="str">
        <f t="shared" si="21"/>
        <v>241 à 365 dias</v>
      </c>
      <c r="J684" s="11">
        <v>11</v>
      </c>
      <c r="K684" s="5">
        <v>5920.71</v>
      </c>
      <c r="L684" s="6">
        <v>470.25</v>
      </c>
      <c r="M684" s="5">
        <v>6390.96</v>
      </c>
      <c r="N684" s="10">
        <v>0</v>
      </c>
      <c r="O684" s="7">
        <v>132514.20000000001</v>
      </c>
      <c r="P684" s="3" t="s">
        <v>1</v>
      </c>
      <c r="Q684" s="3" t="s">
        <v>2</v>
      </c>
    </row>
    <row r="685" spans="1:17" x14ac:dyDescent="0.25">
      <c r="A685" s="3" t="s">
        <v>1479</v>
      </c>
      <c r="B685" s="3" t="s">
        <v>1480</v>
      </c>
      <c r="C685" s="3" t="s">
        <v>37</v>
      </c>
      <c r="D685" s="3" t="s">
        <v>1481</v>
      </c>
      <c r="E685" s="3" t="s">
        <v>1482</v>
      </c>
      <c r="F685" s="3" t="s">
        <v>1317</v>
      </c>
      <c r="G685" s="15">
        <v>46133</v>
      </c>
      <c r="H685" s="16">
        <f t="shared" si="20"/>
        <v>270</v>
      </c>
      <c r="I685" s="16" t="str">
        <f t="shared" si="21"/>
        <v>241 à 365 dias</v>
      </c>
      <c r="J685" s="4">
        <v>9</v>
      </c>
      <c r="K685" s="5">
        <v>5618.88</v>
      </c>
      <c r="L685" s="6">
        <v>390.99</v>
      </c>
      <c r="M685" s="5">
        <v>6009.87</v>
      </c>
      <c r="N685" s="10">
        <v>0</v>
      </c>
      <c r="O685" s="7">
        <v>112377.60000000001</v>
      </c>
      <c r="P685" s="3" t="s">
        <v>1</v>
      </c>
      <c r="Q685" s="3" t="s">
        <v>2</v>
      </c>
    </row>
    <row r="686" spans="1:17" x14ac:dyDescent="0.25">
      <c r="A686" s="3" t="s">
        <v>1483</v>
      </c>
      <c r="B686" s="3" t="s">
        <v>1484</v>
      </c>
      <c r="C686" s="3" t="s">
        <v>164</v>
      </c>
      <c r="D686" s="3" t="s">
        <v>1485</v>
      </c>
      <c r="E686" s="3" t="s">
        <v>166</v>
      </c>
      <c r="F686" s="3" t="s">
        <v>1297</v>
      </c>
      <c r="G686" s="15">
        <v>46133</v>
      </c>
      <c r="H686" s="16">
        <f t="shared" si="20"/>
        <v>331</v>
      </c>
      <c r="I686" s="16" t="str">
        <f t="shared" si="21"/>
        <v>241 à 365 dias</v>
      </c>
      <c r="J686" s="11">
        <v>11</v>
      </c>
      <c r="K686" s="8">
        <v>15137.58</v>
      </c>
      <c r="L686" s="5">
        <v>1264.72</v>
      </c>
      <c r="M686" s="8">
        <v>16402.3</v>
      </c>
      <c r="N686" s="5">
        <v>3350.53</v>
      </c>
      <c r="O686" s="7">
        <v>232602.34</v>
      </c>
      <c r="P686" s="3" t="s">
        <v>1</v>
      </c>
      <c r="Q686" s="3" t="s">
        <v>2</v>
      </c>
    </row>
    <row r="687" spans="1:17" x14ac:dyDescent="0.25">
      <c r="A687" s="3" t="s">
        <v>1486</v>
      </c>
      <c r="B687" s="3" t="s">
        <v>1484</v>
      </c>
      <c r="C687" s="3" t="s">
        <v>164</v>
      </c>
      <c r="D687" s="3" t="s">
        <v>1487</v>
      </c>
      <c r="E687" s="3" t="s">
        <v>166</v>
      </c>
      <c r="F687" s="3" t="s">
        <v>1297</v>
      </c>
      <c r="G687" s="15">
        <v>46133</v>
      </c>
      <c r="H687" s="16">
        <f t="shared" si="20"/>
        <v>331</v>
      </c>
      <c r="I687" s="16" t="str">
        <f t="shared" si="21"/>
        <v>241 à 365 dias</v>
      </c>
      <c r="J687" s="11">
        <v>11</v>
      </c>
      <c r="K687" s="8">
        <v>15137.59</v>
      </c>
      <c r="L687" s="5">
        <v>1264.72</v>
      </c>
      <c r="M687" s="8">
        <v>16402.310000000001</v>
      </c>
      <c r="N687" s="5">
        <v>3350.53</v>
      </c>
      <c r="O687" s="7">
        <v>232602.35</v>
      </c>
      <c r="P687" s="3" t="s">
        <v>1</v>
      </c>
      <c r="Q687" s="3" t="s">
        <v>2</v>
      </c>
    </row>
    <row r="688" spans="1:17" x14ac:dyDescent="0.25">
      <c r="A688" s="3" t="s">
        <v>1488</v>
      </c>
      <c r="B688" s="3" t="s">
        <v>1489</v>
      </c>
      <c r="C688" s="3" t="s">
        <v>37</v>
      </c>
      <c r="D688" s="3" t="s">
        <v>1490</v>
      </c>
      <c r="E688" s="3" t="s">
        <v>650</v>
      </c>
      <c r="F688" s="3" t="s">
        <v>1491</v>
      </c>
      <c r="G688" s="15">
        <v>46133</v>
      </c>
      <c r="H688" s="16">
        <f t="shared" si="20"/>
        <v>351</v>
      </c>
      <c r="I688" s="16" t="str">
        <f t="shared" si="21"/>
        <v>241 à 365 dias</v>
      </c>
      <c r="J688" s="11">
        <v>12</v>
      </c>
      <c r="K688" s="5">
        <v>6208.84</v>
      </c>
      <c r="L688" s="6">
        <v>503.22</v>
      </c>
      <c r="M688" s="5">
        <v>6712.06</v>
      </c>
      <c r="N688" s="6">
        <v>501.02</v>
      </c>
      <c r="O688" s="7">
        <v>125905.94</v>
      </c>
      <c r="P688" s="3" t="s">
        <v>1</v>
      </c>
      <c r="Q688" s="3" t="s">
        <v>2</v>
      </c>
    </row>
    <row r="689" spans="1:17" x14ac:dyDescent="0.25">
      <c r="A689" s="3" t="s">
        <v>1492</v>
      </c>
      <c r="B689" s="3" t="s">
        <v>1493</v>
      </c>
      <c r="C689" s="3" t="s">
        <v>50</v>
      </c>
      <c r="D689" s="3" t="s">
        <v>1494</v>
      </c>
      <c r="E689" s="3" t="s">
        <v>1495</v>
      </c>
      <c r="F689" s="3" t="s">
        <v>102</v>
      </c>
      <c r="G689" s="15">
        <v>46133</v>
      </c>
      <c r="H689" s="16">
        <f t="shared" si="20"/>
        <v>300</v>
      </c>
      <c r="I689" s="16" t="str">
        <f t="shared" si="21"/>
        <v>241 à 365 dias</v>
      </c>
      <c r="J689" s="4">
        <v>8</v>
      </c>
      <c r="K689" s="8">
        <v>10059.94</v>
      </c>
      <c r="L689" s="6">
        <v>732.44</v>
      </c>
      <c r="M689" s="5">
        <v>10911.08</v>
      </c>
      <c r="N689" s="8">
        <v>12745.19</v>
      </c>
      <c r="O689" s="7">
        <v>301469.65000000002</v>
      </c>
      <c r="P689" s="3" t="s">
        <v>1</v>
      </c>
      <c r="Q689" s="3" t="s">
        <v>2</v>
      </c>
    </row>
    <row r="690" spans="1:17" x14ac:dyDescent="0.25">
      <c r="A690" s="3" t="s">
        <v>1496</v>
      </c>
      <c r="B690" s="3" t="s">
        <v>1493</v>
      </c>
      <c r="C690" s="3" t="s">
        <v>50</v>
      </c>
      <c r="D690" s="3" t="s">
        <v>1497</v>
      </c>
      <c r="E690" s="3" t="s">
        <v>1495</v>
      </c>
      <c r="F690" s="3" t="s">
        <v>102</v>
      </c>
      <c r="G690" s="15">
        <v>46133</v>
      </c>
      <c r="H690" s="16">
        <f t="shared" si="20"/>
        <v>300</v>
      </c>
      <c r="I690" s="16" t="str">
        <f t="shared" si="21"/>
        <v>241 à 365 dias</v>
      </c>
      <c r="J690" s="4">
        <v>8</v>
      </c>
      <c r="K690" s="8">
        <v>12444.06</v>
      </c>
      <c r="L690" s="6">
        <v>905.98</v>
      </c>
      <c r="M690" s="5">
        <v>13496.86</v>
      </c>
      <c r="N690" s="8">
        <v>15789.53</v>
      </c>
      <c r="O690" s="7">
        <v>372916.87</v>
      </c>
      <c r="P690" s="3" t="s">
        <v>1</v>
      </c>
      <c r="Q690" s="3" t="s">
        <v>2</v>
      </c>
    </row>
    <row r="691" spans="1:17" x14ac:dyDescent="0.25">
      <c r="A691" s="3" t="s">
        <v>1498</v>
      </c>
      <c r="B691" s="3" t="s">
        <v>1499</v>
      </c>
      <c r="C691" s="3" t="s">
        <v>164</v>
      </c>
      <c r="D691" s="3" t="s">
        <v>1500</v>
      </c>
      <c r="E691" s="3" t="s">
        <v>166</v>
      </c>
      <c r="F691" s="3" t="s">
        <v>1297</v>
      </c>
      <c r="G691" s="15">
        <v>46133</v>
      </c>
      <c r="H691" s="16">
        <f t="shared" si="20"/>
        <v>331</v>
      </c>
      <c r="I691" s="16" t="str">
        <f t="shared" si="21"/>
        <v>241 à 365 dias</v>
      </c>
      <c r="J691" s="11">
        <v>11</v>
      </c>
      <c r="K691" s="8">
        <v>58790.39</v>
      </c>
      <c r="L691" s="5">
        <v>4649.1099999999997</v>
      </c>
      <c r="M691" s="8">
        <v>63439.5</v>
      </c>
      <c r="N691" s="5">
        <v>2000</v>
      </c>
      <c r="O691" s="7">
        <v>184532.08</v>
      </c>
      <c r="P691" s="3" t="s">
        <v>1</v>
      </c>
      <c r="Q691" s="3" t="s">
        <v>2</v>
      </c>
    </row>
    <row r="692" spans="1:17" x14ac:dyDescent="0.25">
      <c r="A692" s="3" t="s">
        <v>1501</v>
      </c>
      <c r="B692" s="3" t="s">
        <v>1499</v>
      </c>
      <c r="C692" s="3" t="s">
        <v>164</v>
      </c>
      <c r="D692" s="3" t="s">
        <v>1502</v>
      </c>
      <c r="E692" s="3" t="s">
        <v>668</v>
      </c>
      <c r="F692" s="3" t="s">
        <v>857</v>
      </c>
      <c r="G692" s="15">
        <v>46133</v>
      </c>
      <c r="H692" s="16">
        <f t="shared" si="20"/>
        <v>361</v>
      </c>
      <c r="I692" s="16" t="str">
        <f t="shared" si="21"/>
        <v>241 à 365 dias</v>
      </c>
      <c r="J692" s="11">
        <v>12</v>
      </c>
      <c r="K692" s="8">
        <v>26194.16</v>
      </c>
      <c r="L692" s="5">
        <v>2083.9299999999998</v>
      </c>
      <c r="M692" s="8">
        <v>28278.09</v>
      </c>
      <c r="N692" s="5">
        <v>1000</v>
      </c>
      <c r="O692" s="8">
        <v>82418.350000000006</v>
      </c>
      <c r="P692" s="3" t="s">
        <v>1</v>
      </c>
      <c r="Q692" s="3" t="s">
        <v>2</v>
      </c>
    </row>
    <row r="693" spans="1:17" x14ac:dyDescent="0.25">
      <c r="A693" s="3" t="s">
        <v>1503</v>
      </c>
      <c r="B693" s="3" t="s">
        <v>1504</v>
      </c>
      <c r="C693" s="3" t="s">
        <v>31</v>
      </c>
      <c r="D693" s="3" t="s">
        <v>1505</v>
      </c>
      <c r="E693" s="3" t="s">
        <v>1506</v>
      </c>
      <c r="F693" s="3" t="s">
        <v>1309</v>
      </c>
      <c r="G693" s="15">
        <v>46133</v>
      </c>
      <c r="H693" s="16">
        <f t="shared" si="20"/>
        <v>315</v>
      </c>
      <c r="I693" s="16" t="str">
        <f t="shared" si="21"/>
        <v>241 à 365 dias</v>
      </c>
      <c r="J693" s="11">
        <v>11</v>
      </c>
      <c r="K693" s="8">
        <v>49005.74</v>
      </c>
      <c r="L693" s="5">
        <v>5185.7</v>
      </c>
      <c r="M693" s="8">
        <v>54191.44</v>
      </c>
      <c r="N693" s="8">
        <v>15002.12</v>
      </c>
      <c r="O693" s="7">
        <v>182005.74</v>
      </c>
      <c r="P693" s="3" t="s">
        <v>1</v>
      </c>
      <c r="Q693" s="3" t="s">
        <v>2</v>
      </c>
    </row>
    <row r="694" spans="1:17" x14ac:dyDescent="0.25">
      <c r="A694" s="3" t="s">
        <v>1507</v>
      </c>
      <c r="B694" s="3" t="s">
        <v>1504</v>
      </c>
      <c r="C694" s="3" t="s">
        <v>31</v>
      </c>
      <c r="D694" s="3" t="s">
        <v>1508</v>
      </c>
      <c r="E694" s="3" t="s">
        <v>1509</v>
      </c>
      <c r="F694" s="3" t="s">
        <v>530</v>
      </c>
      <c r="G694" s="15">
        <v>46133</v>
      </c>
      <c r="H694" s="16">
        <f t="shared" si="20"/>
        <v>346</v>
      </c>
      <c r="I694" s="16" t="str">
        <f t="shared" si="21"/>
        <v>241 à 365 dias</v>
      </c>
      <c r="J694" s="11">
        <v>11</v>
      </c>
      <c r="K694" s="8">
        <v>49016.22</v>
      </c>
      <c r="L694" s="5">
        <v>5196.84</v>
      </c>
      <c r="M694" s="8">
        <v>54213.06</v>
      </c>
      <c r="N694" s="8">
        <v>15007.63</v>
      </c>
      <c r="O694" s="7">
        <v>182016.22</v>
      </c>
      <c r="P694" s="3" t="s">
        <v>1</v>
      </c>
      <c r="Q694" s="3" t="s">
        <v>2</v>
      </c>
    </row>
    <row r="695" spans="1:17" x14ac:dyDescent="0.25">
      <c r="A695" s="3" t="s">
        <v>1510</v>
      </c>
      <c r="B695" s="3" t="s">
        <v>1511</v>
      </c>
      <c r="C695" s="3" t="s">
        <v>37</v>
      </c>
      <c r="D695" s="3" t="s">
        <v>1512</v>
      </c>
      <c r="E695" s="3" t="s">
        <v>1513</v>
      </c>
      <c r="F695" s="3" t="s">
        <v>1352</v>
      </c>
      <c r="G695" s="15">
        <v>46133</v>
      </c>
      <c r="H695" s="16">
        <f t="shared" si="20"/>
        <v>336</v>
      </c>
      <c r="I695" s="16" t="str">
        <f t="shared" si="21"/>
        <v>241 à 365 dias</v>
      </c>
      <c r="J695" s="11">
        <v>12</v>
      </c>
      <c r="K695" s="5">
        <v>9233.76</v>
      </c>
      <c r="L695" s="6">
        <v>701.32</v>
      </c>
      <c r="M695" s="5">
        <v>9935.08</v>
      </c>
      <c r="N695" s="10">
        <v>0</v>
      </c>
      <c r="O695" s="7">
        <v>188172.72</v>
      </c>
      <c r="P695" s="3" t="s">
        <v>1</v>
      </c>
      <c r="Q695" s="3" t="s">
        <v>2</v>
      </c>
    </row>
    <row r="696" spans="1:17" x14ac:dyDescent="0.25">
      <c r="A696" s="3" t="s">
        <v>1514</v>
      </c>
      <c r="B696" s="3" t="s">
        <v>1515</v>
      </c>
      <c r="C696" s="3" t="s">
        <v>37</v>
      </c>
      <c r="D696" s="3" t="s">
        <v>1516</v>
      </c>
      <c r="E696" s="3" t="s">
        <v>1321</v>
      </c>
      <c r="F696" s="3" t="s">
        <v>1297</v>
      </c>
      <c r="G696" s="15">
        <v>46133</v>
      </c>
      <c r="H696" s="16">
        <f t="shared" si="20"/>
        <v>331</v>
      </c>
      <c r="I696" s="16" t="str">
        <f t="shared" si="21"/>
        <v>241 à 365 dias</v>
      </c>
      <c r="J696" s="11">
        <v>11</v>
      </c>
      <c r="K696" s="5">
        <v>5494.34</v>
      </c>
      <c r="L696" s="6">
        <v>436.38</v>
      </c>
      <c r="M696" s="5">
        <v>5930.72</v>
      </c>
      <c r="N696" s="10">
        <v>0</v>
      </c>
      <c r="O696" s="7">
        <v>122971.34</v>
      </c>
      <c r="P696" s="3" t="s">
        <v>1</v>
      </c>
      <c r="Q696" s="3" t="s">
        <v>2</v>
      </c>
    </row>
    <row r="697" spans="1:17" x14ac:dyDescent="0.25">
      <c r="A697" s="3" t="s">
        <v>1517</v>
      </c>
      <c r="B697" s="3" t="s">
        <v>1515</v>
      </c>
      <c r="C697" s="3" t="s">
        <v>37</v>
      </c>
      <c r="D697" s="3" t="s">
        <v>1518</v>
      </c>
      <c r="E697" s="3" t="s">
        <v>1321</v>
      </c>
      <c r="F697" s="3" t="s">
        <v>1297</v>
      </c>
      <c r="G697" s="15">
        <v>46133</v>
      </c>
      <c r="H697" s="16">
        <f t="shared" si="20"/>
        <v>331</v>
      </c>
      <c r="I697" s="16" t="str">
        <f t="shared" si="21"/>
        <v>241 à 365 dias</v>
      </c>
      <c r="J697" s="11">
        <v>11</v>
      </c>
      <c r="K697" s="5">
        <v>5494.34</v>
      </c>
      <c r="L697" s="6">
        <v>436.38</v>
      </c>
      <c r="M697" s="5">
        <v>5930.72</v>
      </c>
      <c r="N697" s="10">
        <v>0</v>
      </c>
      <c r="O697" s="7">
        <v>122971.34</v>
      </c>
      <c r="P697" s="3" t="s">
        <v>1</v>
      </c>
      <c r="Q697" s="3" t="s">
        <v>2</v>
      </c>
    </row>
    <row r="698" spans="1:17" x14ac:dyDescent="0.25">
      <c r="A698" s="3" t="s">
        <v>1470</v>
      </c>
      <c r="B698" s="3" t="s">
        <v>1519</v>
      </c>
      <c r="C698" s="3" t="s">
        <v>37</v>
      </c>
      <c r="D698" s="3" t="s">
        <v>1520</v>
      </c>
      <c r="E698" s="3" t="s">
        <v>1316</v>
      </c>
      <c r="F698" s="3" t="s">
        <v>1309</v>
      </c>
      <c r="G698" s="15">
        <v>46133</v>
      </c>
      <c r="H698" s="16">
        <f t="shared" si="20"/>
        <v>315</v>
      </c>
      <c r="I698" s="16" t="str">
        <f t="shared" si="21"/>
        <v>241 à 365 dias</v>
      </c>
      <c r="J698" s="11">
        <v>11</v>
      </c>
      <c r="K698" s="5">
        <v>7067.26</v>
      </c>
      <c r="L698" s="6">
        <v>526.97</v>
      </c>
      <c r="M698" s="5">
        <v>7594.23</v>
      </c>
      <c r="N698" s="10">
        <v>0.4</v>
      </c>
      <c r="O698" s="7">
        <v>119158.2</v>
      </c>
      <c r="P698" s="3" t="s">
        <v>1</v>
      </c>
      <c r="Q698" s="3" t="s">
        <v>2</v>
      </c>
    </row>
    <row r="699" spans="1:17" x14ac:dyDescent="0.25">
      <c r="A699" s="3" t="s">
        <v>1952</v>
      </c>
      <c r="B699" s="3" t="s">
        <v>1953</v>
      </c>
      <c r="C699" s="3" t="s">
        <v>50</v>
      </c>
      <c r="D699" s="3" t="s">
        <v>1954</v>
      </c>
      <c r="E699" s="3" t="s">
        <v>751</v>
      </c>
      <c r="F699" s="3" t="s">
        <v>1904</v>
      </c>
      <c r="G699" s="15">
        <v>46133</v>
      </c>
      <c r="H699" s="16">
        <f t="shared" si="20"/>
        <v>117</v>
      </c>
      <c r="I699" s="16" t="str">
        <f t="shared" si="21"/>
        <v>91 à 120 dias</v>
      </c>
      <c r="J699" s="4">
        <v>6</v>
      </c>
      <c r="K699" s="8">
        <v>12893.62</v>
      </c>
      <c r="L699" s="6">
        <v>420.51</v>
      </c>
      <c r="M699" s="5">
        <v>13427.22</v>
      </c>
      <c r="N699" s="8">
        <v>14758.38</v>
      </c>
      <c r="O699" s="7">
        <v>276963.56</v>
      </c>
      <c r="P699" s="3" t="s">
        <v>1</v>
      </c>
      <c r="Q699" s="3" t="s">
        <v>2</v>
      </c>
    </row>
    <row r="700" spans="1:17" x14ac:dyDescent="0.25">
      <c r="A700" s="3" t="s">
        <v>2134</v>
      </c>
      <c r="B700" s="3" t="s">
        <v>2135</v>
      </c>
      <c r="C700" s="3" t="s">
        <v>37</v>
      </c>
      <c r="D700" s="3" t="s">
        <v>2136</v>
      </c>
      <c r="E700" s="3" t="s">
        <v>1223</v>
      </c>
      <c r="F700" s="3" t="s">
        <v>2137</v>
      </c>
      <c r="G700" s="15">
        <v>46133</v>
      </c>
      <c r="H700" s="16">
        <f t="shared" si="20"/>
        <v>392</v>
      </c>
      <c r="I700" s="16" t="str">
        <f t="shared" si="21"/>
        <v>Maior 365 dias</v>
      </c>
      <c r="J700" s="11">
        <v>13</v>
      </c>
      <c r="K700" s="5">
        <v>7173.12</v>
      </c>
      <c r="L700" s="6">
        <v>644.12</v>
      </c>
      <c r="M700" s="5">
        <v>7817.24</v>
      </c>
      <c r="N700" s="10">
        <v>0</v>
      </c>
      <c r="O700" s="7">
        <v>134570.06</v>
      </c>
      <c r="P700" s="3" t="s">
        <v>1</v>
      </c>
      <c r="Q700" s="3" t="s">
        <v>2</v>
      </c>
    </row>
    <row r="701" spans="1:17" x14ac:dyDescent="0.25">
      <c r="A701" s="3" t="s">
        <v>2138</v>
      </c>
      <c r="B701" s="3" t="s">
        <v>2139</v>
      </c>
      <c r="C701" s="3" t="s">
        <v>37</v>
      </c>
      <c r="D701" s="3" t="s">
        <v>2140</v>
      </c>
      <c r="E701" s="3" t="s">
        <v>984</v>
      </c>
      <c r="F701" s="3" t="s">
        <v>2137</v>
      </c>
      <c r="G701" s="15">
        <v>46133</v>
      </c>
      <c r="H701" s="16">
        <f t="shared" si="20"/>
        <v>392</v>
      </c>
      <c r="I701" s="16" t="str">
        <f t="shared" si="21"/>
        <v>Maior 365 dias</v>
      </c>
      <c r="J701" s="11">
        <v>13</v>
      </c>
      <c r="K701" s="8">
        <v>10647.73</v>
      </c>
      <c r="L701" s="6">
        <v>956.2</v>
      </c>
      <c r="M701" s="8">
        <v>11603.93</v>
      </c>
      <c r="N701" s="10">
        <v>0</v>
      </c>
      <c r="O701" s="7">
        <v>199754.62</v>
      </c>
      <c r="P701" s="3" t="s">
        <v>1</v>
      </c>
      <c r="Q701" s="3" t="s">
        <v>2</v>
      </c>
    </row>
    <row r="702" spans="1:17" x14ac:dyDescent="0.25">
      <c r="A702" s="3" t="s">
        <v>2141</v>
      </c>
      <c r="B702" s="3" t="s">
        <v>2142</v>
      </c>
      <c r="C702" s="3" t="s">
        <v>37</v>
      </c>
      <c r="D702" s="3" t="s">
        <v>2143</v>
      </c>
      <c r="E702" s="3" t="s">
        <v>1465</v>
      </c>
      <c r="F702" s="3" t="s">
        <v>2144</v>
      </c>
      <c r="G702" s="15">
        <v>46133</v>
      </c>
      <c r="H702" s="16">
        <f t="shared" si="20"/>
        <v>451</v>
      </c>
      <c r="I702" s="16" t="str">
        <f t="shared" si="21"/>
        <v>Maior 365 dias</v>
      </c>
      <c r="J702" s="11">
        <v>15</v>
      </c>
      <c r="K702" s="8">
        <v>16720.7</v>
      </c>
      <c r="L702" s="5">
        <v>1675.17</v>
      </c>
      <c r="M702" s="8">
        <v>18395.87</v>
      </c>
      <c r="N702" s="10">
        <v>0</v>
      </c>
      <c r="O702" s="7">
        <v>269503.7</v>
      </c>
      <c r="P702" s="3" t="s">
        <v>1</v>
      </c>
      <c r="Q702" s="3" t="s">
        <v>2</v>
      </c>
    </row>
    <row r="703" spans="1:17" x14ac:dyDescent="0.25">
      <c r="A703" s="3" t="s">
        <v>2145</v>
      </c>
      <c r="B703" s="3" t="s">
        <v>2146</v>
      </c>
      <c r="C703" s="3" t="s">
        <v>37</v>
      </c>
      <c r="D703" s="3" t="s">
        <v>2147</v>
      </c>
      <c r="E703" s="3" t="s">
        <v>27</v>
      </c>
      <c r="F703" s="3" t="s">
        <v>2144</v>
      </c>
      <c r="G703" s="15">
        <v>46133</v>
      </c>
      <c r="H703" s="16">
        <f t="shared" si="20"/>
        <v>451</v>
      </c>
      <c r="I703" s="16" t="str">
        <f t="shared" si="21"/>
        <v>Maior 365 dias</v>
      </c>
      <c r="J703" s="11">
        <v>15</v>
      </c>
      <c r="K703" s="8">
        <v>11824.22</v>
      </c>
      <c r="L703" s="5">
        <v>1184.6300000000001</v>
      </c>
      <c r="M703" s="8">
        <v>13008.85</v>
      </c>
      <c r="N703" s="10">
        <v>0</v>
      </c>
      <c r="O703" s="7">
        <v>190582.22</v>
      </c>
      <c r="P703" s="3" t="s">
        <v>1</v>
      </c>
      <c r="Q703" s="3" t="s">
        <v>2</v>
      </c>
    </row>
    <row r="704" spans="1:17" x14ac:dyDescent="0.25">
      <c r="A704" s="3" t="s">
        <v>2148</v>
      </c>
      <c r="B704" s="3" t="s">
        <v>2149</v>
      </c>
      <c r="C704" s="3" t="s">
        <v>94</v>
      </c>
      <c r="D704" s="3" t="s">
        <v>2150</v>
      </c>
      <c r="E704" s="3" t="s">
        <v>182</v>
      </c>
      <c r="F704" s="3" t="s">
        <v>1046</v>
      </c>
      <c r="G704" s="15">
        <v>46133</v>
      </c>
      <c r="H704" s="16">
        <f t="shared" si="20"/>
        <v>463</v>
      </c>
      <c r="I704" s="16" t="str">
        <f t="shared" si="21"/>
        <v>Maior 365 dias</v>
      </c>
      <c r="J704" s="11">
        <v>47</v>
      </c>
      <c r="K704" s="8">
        <v>42931.54</v>
      </c>
      <c r="L704" s="5">
        <v>5922</v>
      </c>
      <c r="M704" s="8">
        <v>48853.54</v>
      </c>
      <c r="N704" s="8">
        <v>11585.34</v>
      </c>
      <c r="O704" s="7">
        <v>161838.85999999999</v>
      </c>
      <c r="P704" s="3" t="s">
        <v>1</v>
      </c>
      <c r="Q704" s="3" t="s">
        <v>2</v>
      </c>
    </row>
    <row r="705" spans="1:17" x14ac:dyDescent="0.25">
      <c r="A705" s="3" t="s">
        <v>360</v>
      </c>
      <c r="B705" s="3" t="s">
        <v>2151</v>
      </c>
      <c r="C705" s="3" t="s">
        <v>37</v>
      </c>
      <c r="D705" s="3" t="s">
        <v>2152</v>
      </c>
      <c r="E705" s="3" t="s">
        <v>1930</v>
      </c>
      <c r="F705" s="3" t="s">
        <v>2153</v>
      </c>
      <c r="G705" s="15">
        <v>46133</v>
      </c>
      <c r="H705" s="16">
        <f t="shared" si="20"/>
        <v>402</v>
      </c>
      <c r="I705" s="16" t="str">
        <f t="shared" si="21"/>
        <v>Maior 365 dias</v>
      </c>
      <c r="J705" s="11">
        <v>14</v>
      </c>
      <c r="K705" s="5">
        <v>7743.5</v>
      </c>
      <c r="L705" s="6">
        <v>681.49</v>
      </c>
      <c r="M705" s="5">
        <v>8424.99</v>
      </c>
      <c r="N705" s="10">
        <v>0</v>
      </c>
      <c r="O705" s="7">
        <v>134586</v>
      </c>
      <c r="P705" s="3" t="s">
        <v>1</v>
      </c>
      <c r="Q705" s="3" t="s">
        <v>2</v>
      </c>
    </row>
    <row r="706" spans="1:17" x14ac:dyDescent="0.25">
      <c r="A706" s="3" t="s">
        <v>2154</v>
      </c>
      <c r="B706" s="3" t="s">
        <v>2155</v>
      </c>
      <c r="C706" s="3" t="s">
        <v>37</v>
      </c>
      <c r="D706" s="3" t="s">
        <v>2156</v>
      </c>
      <c r="E706" s="3" t="s">
        <v>2157</v>
      </c>
      <c r="F706" s="3" t="s">
        <v>2144</v>
      </c>
      <c r="G706" s="15">
        <v>46133</v>
      </c>
      <c r="H706" s="16">
        <f t="shared" ref="H706:H769" si="22">G706-F706</f>
        <v>451</v>
      </c>
      <c r="I706" s="16" t="str">
        <f t="shared" ref="I706:I769" si="23">+IF(H706&lt;35,"Adimplente",IF(H706&lt;=60,"35 à 60 dias",IF(H706&lt;=90,"61 à 90 dias",IF(H706&lt;=120,"91 à 120 dias",IF(H706&lt;=180,"121 à 180 dias",IF(H706&lt;=240,"181 à 240 dias",IF(H706&lt;=365,"241 à 365 dias","Maior 365 dias")))))))</f>
        <v>Maior 365 dias</v>
      </c>
      <c r="J706" s="11">
        <v>15</v>
      </c>
      <c r="K706" s="5">
        <v>8360.08</v>
      </c>
      <c r="L706" s="6">
        <v>837.56</v>
      </c>
      <c r="M706" s="5">
        <v>9197.64</v>
      </c>
      <c r="N706" s="10">
        <v>0</v>
      </c>
      <c r="O706" s="7">
        <v>134747.07999999999</v>
      </c>
      <c r="P706" s="3" t="s">
        <v>1</v>
      </c>
      <c r="Q706" s="3" t="s">
        <v>2</v>
      </c>
    </row>
    <row r="707" spans="1:17" x14ac:dyDescent="0.25">
      <c r="A707" s="3" t="s">
        <v>2158</v>
      </c>
      <c r="B707" s="3" t="s">
        <v>2159</v>
      </c>
      <c r="C707" s="3" t="s">
        <v>37</v>
      </c>
      <c r="D707" s="3" t="s">
        <v>2160</v>
      </c>
      <c r="E707" s="3" t="s">
        <v>27</v>
      </c>
      <c r="F707" s="3" t="s">
        <v>2161</v>
      </c>
      <c r="G707" s="15">
        <v>46133</v>
      </c>
      <c r="H707" s="16">
        <f t="shared" si="22"/>
        <v>466</v>
      </c>
      <c r="I707" s="16" t="str">
        <f t="shared" si="23"/>
        <v>Maior 365 dias</v>
      </c>
      <c r="J707" s="11">
        <v>16</v>
      </c>
      <c r="K707" s="5">
        <v>8800.74</v>
      </c>
      <c r="L707" s="6">
        <v>882.1</v>
      </c>
      <c r="M707" s="5">
        <v>9682.84</v>
      </c>
      <c r="N707" s="10">
        <v>0</v>
      </c>
      <c r="O707" s="7">
        <v>132666.01999999999</v>
      </c>
      <c r="P707" s="3" t="s">
        <v>1</v>
      </c>
      <c r="Q707" s="3" t="s">
        <v>2</v>
      </c>
    </row>
    <row r="708" spans="1:17" x14ac:dyDescent="0.25">
      <c r="A708" s="3" t="s">
        <v>2162</v>
      </c>
      <c r="B708" s="3" t="s">
        <v>2163</v>
      </c>
      <c r="C708" s="3" t="s">
        <v>50</v>
      </c>
      <c r="D708" s="3" t="s">
        <v>2164</v>
      </c>
      <c r="E708" s="3" t="s">
        <v>2165</v>
      </c>
      <c r="F708" s="3" t="s">
        <v>2166</v>
      </c>
      <c r="G708" s="15">
        <v>46133</v>
      </c>
      <c r="H708" s="16">
        <f t="shared" si="22"/>
        <v>420</v>
      </c>
      <c r="I708" s="16" t="str">
        <f t="shared" si="23"/>
        <v>Maior 365 dias</v>
      </c>
      <c r="J708" s="11">
        <v>15</v>
      </c>
      <c r="K708" s="8">
        <v>17020.91</v>
      </c>
      <c r="L708" s="5">
        <v>1653.13</v>
      </c>
      <c r="M708" s="5">
        <v>18819.41</v>
      </c>
      <c r="N708" s="5">
        <v>7475.74</v>
      </c>
      <c r="O708" s="7">
        <v>279947.31</v>
      </c>
      <c r="P708" s="3" t="s">
        <v>1</v>
      </c>
      <c r="Q708" s="3" t="s">
        <v>2</v>
      </c>
    </row>
    <row r="709" spans="1:17" x14ac:dyDescent="0.25">
      <c r="A709" s="3" t="s">
        <v>2167</v>
      </c>
      <c r="B709" s="3" t="s">
        <v>2168</v>
      </c>
      <c r="C709" s="3" t="s">
        <v>37</v>
      </c>
      <c r="D709" s="3" t="s">
        <v>2169</v>
      </c>
      <c r="E709" s="3" t="s">
        <v>2081</v>
      </c>
      <c r="F709" s="3" t="s">
        <v>2170</v>
      </c>
      <c r="G709" s="15">
        <v>46133</v>
      </c>
      <c r="H709" s="16">
        <f t="shared" si="22"/>
        <v>553</v>
      </c>
      <c r="I709" s="16" t="str">
        <f t="shared" si="23"/>
        <v>Maior 365 dias</v>
      </c>
      <c r="J709" s="11">
        <v>19</v>
      </c>
      <c r="K709" s="8">
        <v>10908.48</v>
      </c>
      <c r="L709" s="5">
        <v>1245.8</v>
      </c>
      <c r="M709" s="8">
        <v>12154.28</v>
      </c>
      <c r="N709" s="5">
        <v>5834.84</v>
      </c>
      <c r="O709" s="7">
        <v>131675.28</v>
      </c>
      <c r="P709" s="3" t="s">
        <v>1</v>
      </c>
      <c r="Q709" s="3" t="s">
        <v>2</v>
      </c>
    </row>
    <row r="710" spans="1:17" x14ac:dyDescent="0.25">
      <c r="A710" s="3" t="s">
        <v>2171</v>
      </c>
      <c r="B710" s="3" t="s">
        <v>2172</v>
      </c>
      <c r="C710" s="3" t="s">
        <v>120</v>
      </c>
      <c r="D710" s="3" t="s">
        <v>2173</v>
      </c>
      <c r="E710" s="3" t="s">
        <v>384</v>
      </c>
      <c r="F710" s="3" t="s">
        <v>2174</v>
      </c>
      <c r="G710" s="15">
        <v>46133</v>
      </c>
      <c r="H710" s="16">
        <f t="shared" si="22"/>
        <v>630</v>
      </c>
      <c r="I710" s="16" t="str">
        <f t="shared" si="23"/>
        <v>Maior 365 dias</v>
      </c>
      <c r="J710" s="11">
        <v>23</v>
      </c>
      <c r="K710" s="8">
        <v>36495.370000000003</v>
      </c>
      <c r="L710" s="5">
        <v>4908</v>
      </c>
      <c r="M710" s="8">
        <v>41403.370000000003</v>
      </c>
      <c r="N710" s="8">
        <v>49120.55</v>
      </c>
      <c r="O710" s="7">
        <v>256182.14</v>
      </c>
      <c r="P710" s="3" t="s">
        <v>1</v>
      </c>
      <c r="Q710" s="3" t="s">
        <v>2</v>
      </c>
    </row>
    <row r="711" spans="1:17" x14ac:dyDescent="0.25">
      <c r="A711" s="3" t="s">
        <v>2175</v>
      </c>
      <c r="B711" s="3" t="s">
        <v>2176</v>
      </c>
      <c r="C711" s="3" t="s">
        <v>37</v>
      </c>
      <c r="D711" s="3" t="s">
        <v>2177</v>
      </c>
      <c r="E711" s="3" t="s">
        <v>841</v>
      </c>
      <c r="F711" s="3" t="s">
        <v>1932</v>
      </c>
      <c r="G711" s="15">
        <v>46133</v>
      </c>
      <c r="H711" s="16">
        <f t="shared" si="22"/>
        <v>371</v>
      </c>
      <c r="I711" s="16" t="str">
        <f t="shared" si="23"/>
        <v>Maior 365 dias</v>
      </c>
      <c r="J711" s="11">
        <v>13</v>
      </c>
      <c r="K711" s="5">
        <v>6933.63</v>
      </c>
      <c r="L711" s="6">
        <v>574.54</v>
      </c>
      <c r="M711" s="5">
        <v>7508.17</v>
      </c>
      <c r="N711" s="10">
        <v>0</v>
      </c>
      <c r="O711" s="7">
        <v>130378.5</v>
      </c>
      <c r="P711" s="3" t="s">
        <v>1</v>
      </c>
      <c r="Q711" s="3" t="s">
        <v>2</v>
      </c>
    </row>
    <row r="712" spans="1:17" x14ac:dyDescent="0.25">
      <c r="A712" s="3" t="s">
        <v>2178</v>
      </c>
      <c r="B712" s="3" t="s">
        <v>2176</v>
      </c>
      <c r="C712" s="3" t="s">
        <v>37</v>
      </c>
      <c r="D712" s="3" t="s">
        <v>2179</v>
      </c>
      <c r="E712" s="3" t="s">
        <v>841</v>
      </c>
      <c r="F712" s="3" t="s">
        <v>1932</v>
      </c>
      <c r="G712" s="15">
        <v>46133</v>
      </c>
      <c r="H712" s="16">
        <f t="shared" si="22"/>
        <v>371</v>
      </c>
      <c r="I712" s="16" t="str">
        <f t="shared" si="23"/>
        <v>Maior 365 dias</v>
      </c>
      <c r="J712" s="11">
        <v>13</v>
      </c>
      <c r="K712" s="8">
        <v>10786.08</v>
      </c>
      <c r="L712" s="6">
        <v>893.68</v>
      </c>
      <c r="M712" s="8">
        <v>11679.76</v>
      </c>
      <c r="N712" s="10">
        <v>0</v>
      </c>
      <c r="O712" s="7">
        <v>202819</v>
      </c>
      <c r="P712" s="3" t="s">
        <v>1</v>
      </c>
      <c r="Q712" s="3" t="s">
        <v>2</v>
      </c>
    </row>
    <row r="713" spans="1:17" x14ac:dyDescent="0.25">
      <c r="A713" s="3" t="s">
        <v>2180</v>
      </c>
      <c r="B713" s="3" t="s">
        <v>2181</v>
      </c>
      <c r="C713" s="3" t="s">
        <v>128</v>
      </c>
      <c r="D713" s="3" t="s">
        <v>2182</v>
      </c>
      <c r="E713" s="3" t="s">
        <v>959</v>
      </c>
      <c r="F713" s="3" t="s">
        <v>2183</v>
      </c>
      <c r="G713" s="15">
        <v>46133</v>
      </c>
      <c r="H713" s="16">
        <f t="shared" si="22"/>
        <v>1299</v>
      </c>
      <c r="I713" s="16" t="str">
        <f t="shared" si="23"/>
        <v>Maior 365 dias</v>
      </c>
      <c r="J713" s="11">
        <v>43</v>
      </c>
      <c r="K713" s="8">
        <v>66784.33</v>
      </c>
      <c r="L713" s="8">
        <v>15692.65</v>
      </c>
      <c r="M713" s="8">
        <v>82476.98</v>
      </c>
      <c r="N713" s="8">
        <v>18325.88</v>
      </c>
      <c r="O713" s="7">
        <v>230854.01</v>
      </c>
      <c r="P713" s="3" t="s">
        <v>1</v>
      </c>
      <c r="Q713" s="3" t="s">
        <v>2</v>
      </c>
    </row>
    <row r="714" spans="1:17" x14ac:dyDescent="0.25">
      <c r="A714" s="3" t="s">
        <v>2184</v>
      </c>
      <c r="B714" s="3" t="s">
        <v>2185</v>
      </c>
      <c r="C714" s="3" t="s">
        <v>128</v>
      </c>
      <c r="D714" s="3" t="s">
        <v>2186</v>
      </c>
      <c r="E714" s="3" t="s">
        <v>2187</v>
      </c>
      <c r="F714" s="3" t="s">
        <v>2188</v>
      </c>
      <c r="G714" s="15">
        <v>46133</v>
      </c>
      <c r="H714" s="16">
        <f t="shared" si="22"/>
        <v>517</v>
      </c>
      <c r="I714" s="16" t="str">
        <f t="shared" si="23"/>
        <v>Maior 365 dias</v>
      </c>
      <c r="J714" s="11">
        <v>18</v>
      </c>
      <c r="K714" s="8">
        <v>34345.68</v>
      </c>
      <c r="L714" s="5">
        <v>3704.58</v>
      </c>
      <c r="M714" s="8">
        <v>38050.26</v>
      </c>
      <c r="N714" s="5">
        <v>2100</v>
      </c>
      <c r="O714" s="7">
        <v>350132.46</v>
      </c>
      <c r="P714" s="3" t="s">
        <v>1</v>
      </c>
      <c r="Q714" s="3" t="s">
        <v>2</v>
      </c>
    </row>
    <row r="715" spans="1:17" x14ac:dyDescent="0.25">
      <c r="A715" s="3" t="s">
        <v>312</v>
      </c>
      <c r="B715" s="3" t="s">
        <v>2189</v>
      </c>
      <c r="C715" s="3" t="s">
        <v>50</v>
      </c>
      <c r="D715" s="3" t="s">
        <v>2190</v>
      </c>
      <c r="E715" s="3" t="s">
        <v>591</v>
      </c>
      <c r="F715" s="3" t="s">
        <v>2191</v>
      </c>
      <c r="G715" s="15">
        <v>46133</v>
      </c>
      <c r="H715" s="16">
        <f t="shared" si="22"/>
        <v>387</v>
      </c>
      <c r="I715" s="16" t="str">
        <f t="shared" si="23"/>
        <v>Maior 365 dias</v>
      </c>
      <c r="J715" s="11">
        <v>26</v>
      </c>
      <c r="K715" s="8">
        <v>49389.16</v>
      </c>
      <c r="L715" s="5">
        <v>5277.07</v>
      </c>
      <c r="M715" s="5">
        <v>54891.42</v>
      </c>
      <c r="N715" s="8">
        <v>12992.44</v>
      </c>
      <c r="O715" s="7">
        <v>300243.19</v>
      </c>
      <c r="P715" s="3" t="s">
        <v>1</v>
      </c>
      <c r="Q715" s="3" t="s">
        <v>2</v>
      </c>
    </row>
    <row r="716" spans="1:17" x14ac:dyDescent="0.25">
      <c r="A716" s="3" t="s">
        <v>2192</v>
      </c>
      <c r="B716" s="3" t="s">
        <v>2193</v>
      </c>
      <c r="C716" s="3" t="s">
        <v>759</v>
      </c>
      <c r="D716" s="3" t="s">
        <v>2194</v>
      </c>
      <c r="E716" s="3" t="s">
        <v>2195</v>
      </c>
      <c r="F716" s="3" t="s">
        <v>951</v>
      </c>
      <c r="G716" s="15">
        <v>46133</v>
      </c>
      <c r="H716" s="16">
        <f t="shared" si="22"/>
        <v>573</v>
      </c>
      <c r="I716" s="16" t="str">
        <f t="shared" si="23"/>
        <v>Maior 365 dias</v>
      </c>
      <c r="J716" s="11">
        <v>19</v>
      </c>
      <c r="K716" s="8">
        <v>23452.7</v>
      </c>
      <c r="L716" s="5">
        <v>2902.47</v>
      </c>
      <c r="M716" s="8">
        <v>26355.17</v>
      </c>
      <c r="N716" s="5">
        <v>1197.9000000000001</v>
      </c>
      <c r="O716" s="7">
        <v>143242.70000000001</v>
      </c>
      <c r="P716" s="3" t="s">
        <v>1</v>
      </c>
      <c r="Q716" s="3" t="s">
        <v>2</v>
      </c>
    </row>
    <row r="717" spans="1:17" x14ac:dyDescent="0.25">
      <c r="A717" s="3" t="s">
        <v>2196</v>
      </c>
      <c r="B717" s="3" t="s">
        <v>2193</v>
      </c>
      <c r="C717" s="3" t="s">
        <v>759</v>
      </c>
      <c r="D717" s="3" t="s">
        <v>2197</v>
      </c>
      <c r="E717" s="3" t="s">
        <v>724</v>
      </c>
      <c r="F717" s="3" t="s">
        <v>2088</v>
      </c>
      <c r="G717" s="15">
        <v>46133</v>
      </c>
      <c r="H717" s="16">
        <f t="shared" si="22"/>
        <v>614</v>
      </c>
      <c r="I717" s="16" t="str">
        <f t="shared" si="23"/>
        <v>Maior 365 dias</v>
      </c>
      <c r="J717" s="11">
        <v>21</v>
      </c>
      <c r="K717" s="8">
        <v>24183.56</v>
      </c>
      <c r="L717" s="5">
        <v>3011.68</v>
      </c>
      <c r="M717" s="8">
        <v>27195.24</v>
      </c>
      <c r="N717" s="8">
        <v>12060.63</v>
      </c>
      <c r="O717" s="7">
        <v>137820.44</v>
      </c>
      <c r="P717" s="3" t="s">
        <v>1</v>
      </c>
      <c r="Q717" s="3" t="s">
        <v>2</v>
      </c>
    </row>
    <row r="718" spans="1:17" x14ac:dyDescent="0.25">
      <c r="A718" s="3" t="s">
        <v>2198</v>
      </c>
      <c r="B718" s="3" t="s">
        <v>2199</v>
      </c>
      <c r="C718" s="3" t="s">
        <v>37</v>
      </c>
      <c r="D718" s="3" t="s">
        <v>2200</v>
      </c>
      <c r="E718" s="3" t="s">
        <v>2201</v>
      </c>
      <c r="F718" s="3" t="s">
        <v>2144</v>
      </c>
      <c r="G718" s="15">
        <v>46133</v>
      </c>
      <c r="H718" s="16">
        <f t="shared" si="22"/>
        <v>451</v>
      </c>
      <c r="I718" s="16" t="str">
        <f t="shared" si="23"/>
        <v>Maior 365 dias</v>
      </c>
      <c r="J718" s="11">
        <v>15</v>
      </c>
      <c r="K718" s="5">
        <v>9467.9599999999991</v>
      </c>
      <c r="L718" s="6">
        <v>948.57</v>
      </c>
      <c r="M718" s="8">
        <v>10416.530000000001</v>
      </c>
      <c r="N718" s="10">
        <v>0</v>
      </c>
      <c r="O718" s="7">
        <v>114434.36</v>
      </c>
      <c r="P718" s="3" t="s">
        <v>1</v>
      </c>
      <c r="Q718" s="3" t="s">
        <v>2</v>
      </c>
    </row>
    <row r="719" spans="1:17" x14ac:dyDescent="0.25">
      <c r="A719" s="3" t="s">
        <v>2202</v>
      </c>
      <c r="B719" s="3" t="s">
        <v>2203</v>
      </c>
      <c r="C719" s="3" t="s">
        <v>128</v>
      </c>
      <c r="D719" s="3" t="s">
        <v>2204</v>
      </c>
      <c r="E719" s="3" t="s">
        <v>106</v>
      </c>
      <c r="F719" s="3" t="s">
        <v>1395</v>
      </c>
      <c r="G719" s="15">
        <v>46133</v>
      </c>
      <c r="H719" s="16">
        <f t="shared" si="22"/>
        <v>512</v>
      </c>
      <c r="I719" s="16" t="str">
        <f t="shared" si="23"/>
        <v>Maior 365 dias</v>
      </c>
      <c r="J719" s="11">
        <v>17</v>
      </c>
      <c r="K719" s="8">
        <v>55566.39</v>
      </c>
      <c r="L719" s="5">
        <v>5929.22</v>
      </c>
      <c r="M719" s="8">
        <v>61495.61</v>
      </c>
      <c r="N719" s="5">
        <v>4951.1499999999996</v>
      </c>
      <c r="O719" s="7">
        <v>212451.24</v>
      </c>
      <c r="P719" s="3" t="s">
        <v>1</v>
      </c>
      <c r="Q719" s="3" t="s">
        <v>2</v>
      </c>
    </row>
    <row r="720" spans="1:17" x14ac:dyDescent="0.25">
      <c r="A720" s="3" t="s">
        <v>2205</v>
      </c>
      <c r="B720" s="3" t="s">
        <v>2206</v>
      </c>
      <c r="C720" s="3" t="s">
        <v>94</v>
      </c>
      <c r="D720" s="3" t="s">
        <v>2207</v>
      </c>
      <c r="E720" s="3" t="s">
        <v>1469</v>
      </c>
      <c r="F720" s="3" t="s">
        <v>2208</v>
      </c>
      <c r="G720" s="15">
        <v>46133</v>
      </c>
      <c r="H720" s="16">
        <f t="shared" si="22"/>
        <v>407</v>
      </c>
      <c r="I720" s="16" t="str">
        <f t="shared" si="23"/>
        <v>Maior 365 dias</v>
      </c>
      <c r="J720" s="11">
        <v>14</v>
      </c>
      <c r="K720" s="5">
        <v>9653.77</v>
      </c>
      <c r="L720" s="6">
        <v>860.9</v>
      </c>
      <c r="M720" s="8">
        <v>10514.67</v>
      </c>
      <c r="N720" s="5">
        <v>1358.26</v>
      </c>
      <c r="O720" s="7">
        <v>168317.45</v>
      </c>
      <c r="P720" s="3" t="s">
        <v>1</v>
      </c>
      <c r="Q720" s="3" t="s">
        <v>2</v>
      </c>
    </row>
    <row r="721" spans="1:17" x14ac:dyDescent="0.25">
      <c r="A721" s="3" t="s">
        <v>2209</v>
      </c>
      <c r="B721" s="3" t="s">
        <v>2210</v>
      </c>
      <c r="C721" s="3" t="s">
        <v>120</v>
      </c>
      <c r="D721" s="3" t="s">
        <v>2211</v>
      </c>
      <c r="E721" s="3" t="s">
        <v>1065</v>
      </c>
      <c r="F721" s="3" t="s">
        <v>2212</v>
      </c>
      <c r="G721" s="15">
        <v>46133</v>
      </c>
      <c r="H721" s="16">
        <f t="shared" si="22"/>
        <v>1488</v>
      </c>
      <c r="I721" s="16" t="str">
        <f t="shared" si="23"/>
        <v>Maior 365 dias</v>
      </c>
      <c r="J721" s="11">
        <v>49</v>
      </c>
      <c r="K721" s="7">
        <v>116374.76</v>
      </c>
      <c r="L721" s="8">
        <v>31733.07</v>
      </c>
      <c r="M721" s="7">
        <v>148107.82999999999</v>
      </c>
      <c r="N721" s="8">
        <v>27777.759999999998</v>
      </c>
      <c r="O721" s="7">
        <v>263449.92</v>
      </c>
      <c r="P721" s="3" t="s">
        <v>1</v>
      </c>
      <c r="Q721" s="3" t="s">
        <v>2</v>
      </c>
    </row>
    <row r="722" spans="1:17" x14ac:dyDescent="0.25">
      <c r="A722" s="3" t="s">
        <v>2213</v>
      </c>
      <c r="B722" s="3" t="s">
        <v>2214</v>
      </c>
      <c r="C722" s="3" t="s">
        <v>50</v>
      </c>
      <c r="D722" s="3" t="s">
        <v>2215</v>
      </c>
      <c r="E722" s="3" t="s">
        <v>275</v>
      </c>
      <c r="F722" s="3" t="s">
        <v>2166</v>
      </c>
      <c r="G722" s="15">
        <v>46133</v>
      </c>
      <c r="H722" s="16">
        <f t="shared" si="22"/>
        <v>420</v>
      </c>
      <c r="I722" s="16" t="str">
        <f t="shared" si="23"/>
        <v>Maior 365 dias</v>
      </c>
      <c r="J722" s="11">
        <v>13</v>
      </c>
      <c r="K722" s="8">
        <v>17209.25</v>
      </c>
      <c r="L722" s="5">
        <v>1572.36</v>
      </c>
      <c r="M722" s="5">
        <v>18945.11</v>
      </c>
      <c r="N722" s="5">
        <v>1297.4000000000001</v>
      </c>
      <c r="O722" s="7">
        <v>325927.51</v>
      </c>
      <c r="P722" s="3" t="s">
        <v>1</v>
      </c>
      <c r="Q722" s="3" t="s">
        <v>2</v>
      </c>
    </row>
    <row r="723" spans="1:17" x14ac:dyDescent="0.25">
      <c r="A723" s="3" t="s">
        <v>2216</v>
      </c>
      <c r="B723" s="3" t="s">
        <v>2217</v>
      </c>
      <c r="C723" s="3" t="s">
        <v>37</v>
      </c>
      <c r="D723" s="3" t="s">
        <v>2218</v>
      </c>
      <c r="E723" s="3" t="s">
        <v>2122</v>
      </c>
      <c r="F723" s="3" t="s">
        <v>735</v>
      </c>
      <c r="G723" s="15">
        <v>46133</v>
      </c>
      <c r="H723" s="16">
        <f t="shared" si="22"/>
        <v>397</v>
      </c>
      <c r="I723" s="16" t="str">
        <f t="shared" si="23"/>
        <v>Maior 365 dias</v>
      </c>
      <c r="J723" s="11">
        <v>14</v>
      </c>
      <c r="K723" s="8">
        <v>11983.11</v>
      </c>
      <c r="L723" s="5">
        <v>1037.46</v>
      </c>
      <c r="M723" s="8">
        <v>13020.57</v>
      </c>
      <c r="N723" s="5">
        <v>3262.28</v>
      </c>
      <c r="O723" s="7">
        <v>202947.51</v>
      </c>
      <c r="P723" s="3" t="s">
        <v>1</v>
      </c>
      <c r="Q723" s="3" t="s">
        <v>2</v>
      </c>
    </row>
    <row r="724" spans="1:17" x14ac:dyDescent="0.25">
      <c r="A724" s="3" t="s">
        <v>2219</v>
      </c>
      <c r="B724" s="3" t="s">
        <v>2217</v>
      </c>
      <c r="C724" s="3" t="s">
        <v>37</v>
      </c>
      <c r="D724" s="3" t="s">
        <v>2220</v>
      </c>
      <c r="E724" s="3" t="s">
        <v>2122</v>
      </c>
      <c r="F724" s="3" t="s">
        <v>2153</v>
      </c>
      <c r="G724" s="15">
        <v>46133</v>
      </c>
      <c r="H724" s="16">
        <f t="shared" si="22"/>
        <v>402</v>
      </c>
      <c r="I724" s="16" t="str">
        <f t="shared" si="23"/>
        <v>Maior 365 dias</v>
      </c>
      <c r="J724" s="11">
        <v>14</v>
      </c>
      <c r="K724" s="5">
        <v>7244.51</v>
      </c>
      <c r="L724" s="6">
        <v>639.64</v>
      </c>
      <c r="M724" s="5">
        <v>7884.15</v>
      </c>
      <c r="N724" s="5">
        <v>1972.26</v>
      </c>
      <c r="O724" s="7">
        <v>122629.01</v>
      </c>
      <c r="P724" s="3" t="s">
        <v>1</v>
      </c>
      <c r="Q724" s="3" t="s">
        <v>2</v>
      </c>
    </row>
    <row r="725" spans="1:17" x14ac:dyDescent="0.25">
      <c r="A725" s="3" t="s">
        <v>2221</v>
      </c>
      <c r="B725" s="3" t="s">
        <v>2217</v>
      </c>
      <c r="C725" s="3" t="s">
        <v>37</v>
      </c>
      <c r="D725" s="3" t="s">
        <v>2222</v>
      </c>
      <c r="E725" s="3" t="s">
        <v>2122</v>
      </c>
      <c r="F725" s="3" t="s">
        <v>2166</v>
      </c>
      <c r="G725" s="15">
        <v>46133</v>
      </c>
      <c r="H725" s="16">
        <f t="shared" si="22"/>
        <v>420</v>
      </c>
      <c r="I725" s="16" t="str">
        <f t="shared" si="23"/>
        <v>Maior 365 dias</v>
      </c>
      <c r="J725" s="11">
        <v>14</v>
      </c>
      <c r="K725" s="8">
        <v>10772.54</v>
      </c>
      <c r="L725" s="5">
        <v>1025.24</v>
      </c>
      <c r="M725" s="8">
        <v>11797.78</v>
      </c>
      <c r="N725" s="5">
        <v>2200.86</v>
      </c>
      <c r="O725" s="7">
        <v>183365.62</v>
      </c>
      <c r="P725" s="3" t="s">
        <v>1</v>
      </c>
      <c r="Q725" s="3" t="s">
        <v>2</v>
      </c>
    </row>
    <row r="726" spans="1:17" x14ac:dyDescent="0.25">
      <c r="A726" s="3" t="s">
        <v>2223</v>
      </c>
      <c r="B726" s="3" t="s">
        <v>2224</v>
      </c>
      <c r="C726" s="3" t="s">
        <v>37</v>
      </c>
      <c r="D726" s="3" t="s">
        <v>2225</v>
      </c>
      <c r="E726" s="3" t="s">
        <v>2226</v>
      </c>
      <c r="F726" s="3" t="s">
        <v>1395</v>
      </c>
      <c r="G726" s="15">
        <v>46133</v>
      </c>
      <c r="H726" s="16">
        <f t="shared" si="22"/>
        <v>512</v>
      </c>
      <c r="I726" s="16" t="str">
        <f t="shared" si="23"/>
        <v>Maior 365 dias</v>
      </c>
      <c r="J726" s="11">
        <v>17</v>
      </c>
      <c r="K726" s="5">
        <v>8879.3799999999992</v>
      </c>
      <c r="L726" s="6">
        <v>985.07</v>
      </c>
      <c r="M726" s="5">
        <v>9864.4500000000007</v>
      </c>
      <c r="N726" s="10">
        <v>0</v>
      </c>
      <c r="O726" s="7">
        <v>125071.3</v>
      </c>
      <c r="P726" s="3" t="s">
        <v>1</v>
      </c>
      <c r="Q726" s="3" t="s">
        <v>2</v>
      </c>
    </row>
    <row r="727" spans="1:17" x14ac:dyDescent="0.25">
      <c r="A727" s="3" t="s">
        <v>2227</v>
      </c>
      <c r="B727" s="3" t="s">
        <v>2228</v>
      </c>
      <c r="C727" s="3" t="s">
        <v>37</v>
      </c>
      <c r="D727" s="3" t="s">
        <v>2229</v>
      </c>
      <c r="E727" s="3" t="s">
        <v>2230</v>
      </c>
      <c r="F727" s="3" t="s">
        <v>2231</v>
      </c>
      <c r="G727" s="15">
        <v>46133</v>
      </c>
      <c r="H727" s="16">
        <f t="shared" si="22"/>
        <v>578</v>
      </c>
      <c r="I727" s="16" t="str">
        <f t="shared" si="23"/>
        <v>Maior 365 dias</v>
      </c>
      <c r="J727" s="11">
        <v>20</v>
      </c>
      <c r="K727" s="8">
        <v>10482.81</v>
      </c>
      <c r="L727" s="5">
        <v>1241.4100000000001</v>
      </c>
      <c r="M727" s="8">
        <v>11724.22</v>
      </c>
      <c r="N727" s="10">
        <v>0</v>
      </c>
      <c r="O727" s="7">
        <v>124568.21</v>
      </c>
      <c r="P727" s="3" t="s">
        <v>1</v>
      </c>
      <c r="Q727" s="3" t="s">
        <v>2</v>
      </c>
    </row>
    <row r="728" spans="1:17" x14ac:dyDescent="0.25">
      <c r="A728" s="3" t="s">
        <v>2232</v>
      </c>
      <c r="B728" s="3" t="s">
        <v>2233</v>
      </c>
      <c r="C728" s="3" t="s">
        <v>128</v>
      </c>
      <c r="D728" s="3" t="s">
        <v>2234</v>
      </c>
      <c r="E728" s="3" t="s">
        <v>182</v>
      </c>
      <c r="F728" s="3" t="s">
        <v>2235</v>
      </c>
      <c r="G728" s="15">
        <v>46133</v>
      </c>
      <c r="H728" s="16">
        <f t="shared" si="22"/>
        <v>1355</v>
      </c>
      <c r="I728" s="16" t="str">
        <f t="shared" si="23"/>
        <v>Maior 365 dias</v>
      </c>
      <c r="J728" s="11">
        <v>48</v>
      </c>
      <c r="K728" s="8">
        <v>95591.7</v>
      </c>
      <c r="L728" s="8">
        <v>21139.23</v>
      </c>
      <c r="M728" s="7">
        <v>116730.93</v>
      </c>
      <c r="N728" s="8">
        <v>22671.74</v>
      </c>
      <c r="O728" s="7">
        <v>214851.23</v>
      </c>
      <c r="P728" s="3" t="s">
        <v>1</v>
      </c>
      <c r="Q728" s="3" t="s">
        <v>2</v>
      </c>
    </row>
    <row r="729" spans="1:17" x14ac:dyDescent="0.25">
      <c r="A729" s="3" t="s">
        <v>2236</v>
      </c>
      <c r="B729" s="3" t="s">
        <v>2233</v>
      </c>
      <c r="C729" s="3" t="s">
        <v>128</v>
      </c>
      <c r="D729" s="3" t="s">
        <v>2237</v>
      </c>
      <c r="E729" s="3" t="s">
        <v>182</v>
      </c>
      <c r="F729" s="3" t="s">
        <v>2235</v>
      </c>
      <c r="G729" s="15">
        <v>46133</v>
      </c>
      <c r="H729" s="16">
        <f t="shared" si="22"/>
        <v>1355</v>
      </c>
      <c r="I729" s="16" t="str">
        <f t="shared" si="23"/>
        <v>Maior 365 dias</v>
      </c>
      <c r="J729" s="11">
        <v>48</v>
      </c>
      <c r="K729" s="8">
        <v>95591.7</v>
      </c>
      <c r="L729" s="8">
        <v>21139.23</v>
      </c>
      <c r="M729" s="7">
        <v>116730.93</v>
      </c>
      <c r="N729" s="8">
        <v>22671.74</v>
      </c>
      <c r="O729" s="7">
        <v>214851.23</v>
      </c>
      <c r="P729" s="3" t="s">
        <v>1</v>
      </c>
      <c r="Q729" s="3" t="s">
        <v>2</v>
      </c>
    </row>
    <row r="730" spans="1:17" x14ac:dyDescent="0.25">
      <c r="A730" s="3" t="s">
        <v>2238</v>
      </c>
      <c r="B730" s="3" t="s">
        <v>2239</v>
      </c>
      <c r="C730" s="3" t="s">
        <v>349</v>
      </c>
      <c r="D730" s="3" t="s">
        <v>2240</v>
      </c>
      <c r="E730" s="3" t="s">
        <v>698</v>
      </c>
      <c r="F730" s="3" t="s">
        <v>2241</v>
      </c>
      <c r="G730" s="15">
        <v>46133</v>
      </c>
      <c r="H730" s="16">
        <f t="shared" si="22"/>
        <v>376</v>
      </c>
      <c r="I730" s="16" t="str">
        <f t="shared" si="23"/>
        <v>Maior 365 dias</v>
      </c>
      <c r="J730" s="11">
        <v>13</v>
      </c>
      <c r="K730" s="8">
        <v>29384.09</v>
      </c>
      <c r="L730" s="5">
        <v>2379.67</v>
      </c>
      <c r="M730" s="8">
        <v>31763.759999999998</v>
      </c>
      <c r="N730" s="5">
        <v>4347.32</v>
      </c>
      <c r="O730" s="7">
        <v>424181.89</v>
      </c>
      <c r="P730" s="3" t="s">
        <v>1</v>
      </c>
      <c r="Q730" s="3" t="s">
        <v>2</v>
      </c>
    </row>
    <row r="731" spans="1:17" x14ac:dyDescent="0.25">
      <c r="A731" s="3" t="s">
        <v>2242</v>
      </c>
      <c r="B731" s="3" t="s">
        <v>2243</v>
      </c>
      <c r="C731" s="3" t="s">
        <v>50</v>
      </c>
      <c r="D731" s="3" t="s">
        <v>2244</v>
      </c>
      <c r="E731" s="3" t="s">
        <v>2245</v>
      </c>
      <c r="F731" s="3" t="s">
        <v>2144</v>
      </c>
      <c r="G731" s="15">
        <v>46133</v>
      </c>
      <c r="H731" s="16">
        <f t="shared" si="22"/>
        <v>451</v>
      </c>
      <c r="I731" s="16" t="str">
        <f t="shared" si="23"/>
        <v>Maior 365 dias</v>
      </c>
      <c r="J731" s="11">
        <v>15</v>
      </c>
      <c r="K731" s="8">
        <v>21315.72</v>
      </c>
      <c r="L731" s="5">
        <v>2129.27</v>
      </c>
      <c r="M731" s="5">
        <v>23628</v>
      </c>
      <c r="N731" s="10">
        <v>0</v>
      </c>
      <c r="O731" s="7">
        <v>263017.62</v>
      </c>
      <c r="P731" s="3" t="s">
        <v>1</v>
      </c>
      <c r="Q731" s="3" t="s">
        <v>2</v>
      </c>
    </row>
    <row r="732" spans="1:17" x14ac:dyDescent="0.25">
      <c r="A732" s="3" t="s">
        <v>2246</v>
      </c>
      <c r="B732" s="3" t="s">
        <v>2247</v>
      </c>
      <c r="C732" s="3" t="s">
        <v>31</v>
      </c>
      <c r="D732" s="3" t="s">
        <v>2248</v>
      </c>
      <c r="E732" s="3" t="s">
        <v>2187</v>
      </c>
      <c r="F732" s="3" t="s">
        <v>1419</v>
      </c>
      <c r="G732" s="15">
        <v>46133</v>
      </c>
      <c r="H732" s="16">
        <f t="shared" si="22"/>
        <v>510</v>
      </c>
      <c r="I732" s="16" t="str">
        <f t="shared" si="23"/>
        <v>Maior 365 dias</v>
      </c>
      <c r="J732" s="11">
        <v>18</v>
      </c>
      <c r="K732" s="8">
        <v>81804.75</v>
      </c>
      <c r="L732" s="8">
        <v>10576.9</v>
      </c>
      <c r="M732" s="8">
        <v>92381.65</v>
      </c>
      <c r="N732" s="8">
        <v>10900</v>
      </c>
      <c r="O732" s="7">
        <v>189787.98</v>
      </c>
      <c r="P732" s="3" t="s">
        <v>1</v>
      </c>
      <c r="Q732" s="3" t="s">
        <v>2</v>
      </c>
    </row>
    <row r="733" spans="1:17" x14ac:dyDescent="0.25">
      <c r="A733" s="3" t="s">
        <v>2249</v>
      </c>
      <c r="B733" s="3" t="s">
        <v>2250</v>
      </c>
      <c r="C733" s="3" t="s">
        <v>37</v>
      </c>
      <c r="D733" s="3" t="s">
        <v>2251</v>
      </c>
      <c r="E733" s="3" t="s">
        <v>376</v>
      </c>
      <c r="F733" s="3" t="s">
        <v>2137</v>
      </c>
      <c r="G733" s="15">
        <v>46133</v>
      </c>
      <c r="H733" s="16">
        <f t="shared" si="22"/>
        <v>392</v>
      </c>
      <c r="I733" s="16" t="str">
        <f t="shared" si="23"/>
        <v>Maior 365 dias</v>
      </c>
      <c r="J733" s="11">
        <v>16</v>
      </c>
      <c r="K733" s="5">
        <v>8128.41</v>
      </c>
      <c r="L733" s="6">
        <v>808.89</v>
      </c>
      <c r="M733" s="5">
        <v>8937.2999999999993</v>
      </c>
      <c r="N733" s="10">
        <v>0</v>
      </c>
      <c r="O733" s="7">
        <v>132548.91</v>
      </c>
      <c r="P733" s="3" t="s">
        <v>1</v>
      </c>
      <c r="Q733" s="3" t="s">
        <v>2</v>
      </c>
    </row>
    <row r="734" spans="1:17" x14ac:dyDescent="0.25">
      <c r="A734" s="3" t="s">
        <v>2252</v>
      </c>
      <c r="B734" s="3" t="s">
        <v>2253</v>
      </c>
      <c r="C734" s="3" t="s">
        <v>37</v>
      </c>
      <c r="D734" s="3" t="s">
        <v>2254</v>
      </c>
      <c r="E734" s="3" t="s">
        <v>2255</v>
      </c>
      <c r="F734" s="3" t="s">
        <v>2256</v>
      </c>
      <c r="G734" s="15">
        <v>46133</v>
      </c>
      <c r="H734" s="16">
        <f t="shared" si="22"/>
        <v>492</v>
      </c>
      <c r="I734" s="16" t="str">
        <f t="shared" si="23"/>
        <v>Maior 365 dias</v>
      </c>
      <c r="J734" s="11">
        <v>17</v>
      </c>
      <c r="K734" s="5">
        <v>8877.5</v>
      </c>
      <c r="L734" s="6">
        <v>923.23</v>
      </c>
      <c r="M734" s="5">
        <v>9800.73</v>
      </c>
      <c r="N734" s="6">
        <v>991.72</v>
      </c>
      <c r="O734" s="7">
        <v>128549</v>
      </c>
      <c r="P734" s="3" t="s">
        <v>1</v>
      </c>
      <c r="Q734" s="3" t="s">
        <v>2</v>
      </c>
    </row>
    <row r="735" spans="1:17" x14ac:dyDescent="0.25">
      <c r="A735" s="3" t="s">
        <v>2257</v>
      </c>
      <c r="B735" s="3" t="s">
        <v>2258</v>
      </c>
      <c r="C735" s="3" t="s">
        <v>37</v>
      </c>
      <c r="D735" s="3" t="s">
        <v>2259</v>
      </c>
      <c r="E735" s="3" t="s">
        <v>1948</v>
      </c>
      <c r="F735" s="3" t="s">
        <v>2166</v>
      </c>
      <c r="G735" s="15">
        <v>46133</v>
      </c>
      <c r="H735" s="16">
        <f t="shared" si="22"/>
        <v>420</v>
      </c>
      <c r="I735" s="16" t="str">
        <f t="shared" si="23"/>
        <v>Maior 365 dias</v>
      </c>
      <c r="J735" s="11">
        <v>14</v>
      </c>
      <c r="K735" s="5">
        <v>7766.76</v>
      </c>
      <c r="L735" s="6">
        <v>737.76</v>
      </c>
      <c r="M735" s="5">
        <v>8504.52</v>
      </c>
      <c r="N735" s="10">
        <v>0</v>
      </c>
      <c r="O735" s="7">
        <v>134753.9</v>
      </c>
      <c r="P735" s="3" t="s">
        <v>1</v>
      </c>
      <c r="Q735" s="3" t="s">
        <v>2</v>
      </c>
    </row>
    <row r="736" spans="1:17" x14ac:dyDescent="0.25">
      <c r="A736" s="3" t="s">
        <v>2260</v>
      </c>
      <c r="B736" s="3" t="s">
        <v>2261</v>
      </c>
      <c r="C736" s="3" t="s">
        <v>50</v>
      </c>
      <c r="D736" s="3" t="s">
        <v>2262</v>
      </c>
      <c r="E736" s="3" t="s">
        <v>2187</v>
      </c>
      <c r="F736" s="3" t="s">
        <v>2161</v>
      </c>
      <c r="G736" s="15">
        <v>46133</v>
      </c>
      <c r="H736" s="16">
        <f t="shared" si="22"/>
        <v>466</v>
      </c>
      <c r="I736" s="16" t="str">
        <f t="shared" si="23"/>
        <v>Maior 365 dias</v>
      </c>
      <c r="J736" s="11">
        <v>16</v>
      </c>
      <c r="K736" s="8">
        <v>18171.12</v>
      </c>
      <c r="L736" s="5">
        <v>1811.38</v>
      </c>
      <c r="M736" s="5">
        <v>20155.45</v>
      </c>
      <c r="N736" s="10">
        <v>0</v>
      </c>
      <c r="O736" s="7">
        <v>279043.76</v>
      </c>
      <c r="P736" s="3" t="s">
        <v>1</v>
      </c>
      <c r="Q736" s="3" t="s">
        <v>2</v>
      </c>
    </row>
    <row r="737" spans="1:17" x14ac:dyDescent="0.25">
      <c r="A737" s="3" t="s">
        <v>2263</v>
      </c>
      <c r="B737" s="3" t="s">
        <v>2264</v>
      </c>
      <c r="C737" s="3" t="s">
        <v>37</v>
      </c>
      <c r="D737" s="3" t="s">
        <v>2265</v>
      </c>
      <c r="E737" s="3" t="s">
        <v>2266</v>
      </c>
      <c r="F737" s="3" t="s">
        <v>2137</v>
      </c>
      <c r="G737" s="15">
        <v>46133</v>
      </c>
      <c r="H737" s="16">
        <f t="shared" si="22"/>
        <v>392</v>
      </c>
      <c r="I737" s="16" t="str">
        <f t="shared" si="23"/>
        <v>Maior 365 dias</v>
      </c>
      <c r="J737" s="11">
        <v>13</v>
      </c>
      <c r="K737" s="5">
        <v>6764.82</v>
      </c>
      <c r="L737" s="6">
        <v>610.53</v>
      </c>
      <c r="M737" s="5">
        <v>7375.35</v>
      </c>
      <c r="N737" s="5">
        <v>2482.36</v>
      </c>
      <c r="O737" s="7">
        <v>122435.7</v>
      </c>
      <c r="P737" s="3" t="s">
        <v>1</v>
      </c>
      <c r="Q737" s="3" t="s">
        <v>2</v>
      </c>
    </row>
    <row r="738" spans="1:17" x14ac:dyDescent="0.25">
      <c r="A738" s="3" t="s">
        <v>2267</v>
      </c>
      <c r="B738" s="3" t="s">
        <v>2268</v>
      </c>
      <c r="C738" s="3" t="s">
        <v>50</v>
      </c>
      <c r="D738" s="3" t="s">
        <v>2269</v>
      </c>
      <c r="E738" s="3" t="s">
        <v>275</v>
      </c>
      <c r="F738" s="3" t="s">
        <v>2166</v>
      </c>
      <c r="G738" s="15">
        <v>46133</v>
      </c>
      <c r="H738" s="16">
        <f t="shared" si="22"/>
        <v>420</v>
      </c>
      <c r="I738" s="16" t="str">
        <f t="shared" si="23"/>
        <v>Maior 365 dias</v>
      </c>
      <c r="J738" s="11">
        <v>12</v>
      </c>
      <c r="K738" s="8">
        <v>14690.67</v>
      </c>
      <c r="L738" s="5">
        <v>1471.86</v>
      </c>
      <c r="M738" s="5">
        <v>16223.19</v>
      </c>
      <c r="N738" s="5">
        <v>2544.2800000000002</v>
      </c>
      <c r="O738" s="7">
        <v>302194.31</v>
      </c>
      <c r="P738" s="3" t="s">
        <v>1</v>
      </c>
      <c r="Q738" s="3" t="s">
        <v>2</v>
      </c>
    </row>
    <row r="739" spans="1:17" x14ac:dyDescent="0.25">
      <c r="A739" s="3" t="s">
        <v>2270</v>
      </c>
      <c r="B739" s="3" t="s">
        <v>2271</v>
      </c>
      <c r="C739" s="3" t="s">
        <v>128</v>
      </c>
      <c r="D739" s="3" t="s">
        <v>2272</v>
      </c>
      <c r="E739" s="3" t="s">
        <v>416</v>
      </c>
      <c r="F739" s="3" t="s">
        <v>2273</v>
      </c>
      <c r="G739" s="15">
        <v>46133</v>
      </c>
      <c r="H739" s="16">
        <f t="shared" si="22"/>
        <v>1202</v>
      </c>
      <c r="I739" s="16" t="str">
        <f t="shared" si="23"/>
        <v>Maior 365 dias</v>
      </c>
      <c r="J739" s="11">
        <v>44</v>
      </c>
      <c r="K739" s="8">
        <v>71984.850000000006</v>
      </c>
      <c r="L739" s="8">
        <v>15642.58</v>
      </c>
      <c r="M739" s="8">
        <v>87627.43</v>
      </c>
      <c r="N739" s="8">
        <v>17510.650000000001</v>
      </c>
      <c r="O739" s="7">
        <v>329867.21999999997</v>
      </c>
      <c r="P739" s="3" t="s">
        <v>1</v>
      </c>
      <c r="Q739" s="3" t="s">
        <v>2</v>
      </c>
    </row>
    <row r="740" spans="1:17" x14ac:dyDescent="0.25">
      <c r="A740" s="3" t="s">
        <v>2274</v>
      </c>
      <c r="B740" s="3" t="s">
        <v>2275</v>
      </c>
      <c r="C740" s="3" t="s">
        <v>37</v>
      </c>
      <c r="D740" s="3" t="s">
        <v>2276</v>
      </c>
      <c r="E740" s="3" t="s">
        <v>724</v>
      </c>
      <c r="F740" s="3" t="s">
        <v>2277</v>
      </c>
      <c r="G740" s="15">
        <v>46133</v>
      </c>
      <c r="H740" s="16">
        <f t="shared" si="22"/>
        <v>487</v>
      </c>
      <c r="I740" s="16" t="str">
        <f t="shared" si="23"/>
        <v>Maior 365 dias</v>
      </c>
      <c r="J740" s="11">
        <v>17</v>
      </c>
      <c r="K740" s="5">
        <v>8868.26</v>
      </c>
      <c r="L740" s="6">
        <v>905.74</v>
      </c>
      <c r="M740" s="5">
        <v>9774</v>
      </c>
      <c r="N740" s="10">
        <v>0</v>
      </c>
      <c r="O740" s="7">
        <v>125524.02</v>
      </c>
      <c r="P740" s="3" t="s">
        <v>1</v>
      </c>
      <c r="Q740" s="3" t="s">
        <v>2</v>
      </c>
    </row>
    <row r="741" spans="1:17" x14ac:dyDescent="0.25">
      <c r="A741" s="3" t="s">
        <v>2278</v>
      </c>
      <c r="B741" s="3" t="s">
        <v>2279</v>
      </c>
      <c r="C741" s="3" t="s">
        <v>50</v>
      </c>
      <c r="D741" s="3" t="s">
        <v>2280</v>
      </c>
      <c r="E741" s="3" t="s">
        <v>2281</v>
      </c>
      <c r="F741" s="3" t="s">
        <v>2137</v>
      </c>
      <c r="G741" s="15">
        <v>46133</v>
      </c>
      <c r="H741" s="16">
        <f t="shared" si="22"/>
        <v>392</v>
      </c>
      <c r="I741" s="16" t="str">
        <f t="shared" si="23"/>
        <v>Maior 365 dias</v>
      </c>
      <c r="J741" s="11">
        <v>13</v>
      </c>
      <c r="K741" s="8">
        <v>19263.93</v>
      </c>
      <c r="L741" s="5">
        <v>1734.25</v>
      </c>
      <c r="M741" s="5">
        <v>21180.6</v>
      </c>
      <c r="N741" s="10">
        <v>0</v>
      </c>
      <c r="O741" s="7">
        <v>366648.84</v>
      </c>
      <c r="P741" s="3" t="s">
        <v>1</v>
      </c>
      <c r="Q741" s="3" t="s">
        <v>2</v>
      </c>
    </row>
    <row r="742" spans="1:17" x14ac:dyDescent="0.25">
      <c r="A742" s="3" t="s">
        <v>2282</v>
      </c>
      <c r="B742" s="3" t="s">
        <v>2283</v>
      </c>
      <c r="C742" s="3" t="s">
        <v>37</v>
      </c>
      <c r="D742" s="3" t="s">
        <v>2284</v>
      </c>
      <c r="E742" s="3" t="s">
        <v>1513</v>
      </c>
      <c r="F742" s="3" t="s">
        <v>2285</v>
      </c>
      <c r="G742" s="15">
        <v>46133</v>
      </c>
      <c r="H742" s="16">
        <f t="shared" si="22"/>
        <v>471</v>
      </c>
      <c r="I742" s="16" t="str">
        <f t="shared" si="23"/>
        <v>Maior 365 dias</v>
      </c>
      <c r="J742" s="11">
        <v>10</v>
      </c>
      <c r="K742" s="5">
        <v>4985.66</v>
      </c>
      <c r="L742" s="6">
        <v>488.5</v>
      </c>
      <c r="M742" s="5">
        <v>5474.16</v>
      </c>
      <c r="N742" s="6">
        <v>966.7</v>
      </c>
      <c r="O742" s="7">
        <v>120971.54</v>
      </c>
      <c r="P742" s="3" t="s">
        <v>1</v>
      </c>
      <c r="Q742" s="3" t="s">
        <v>2</v>
      </c>
    </row>
    <row r="743" spans="1:17" x14ac:dyDescent="0.25">
      <c r="A743" s="3" t="s">
        <v>2286</v>
      </c>
      <c r="B743" s="3" t="s">
        <v>2287</v>
      </c>
      <c r="C743" s="3" t="s">
        <v>37</v>
      </c>
      <c r="D743" s="3" t="s">
        <v>2288</v>
      </c>
      <c r="E743" s="3" t="s">
        <v>2289</v>
      </c>
      <c r="F743" s="3" t="s">
        <v>2144</v>
      </c>
      <c r="G743" s="15">
        <v>46133</v>
      </c>
      <c r="H743" s="16">
        <f t="shared" si="22"/>
        <v>451</v>
      </c>
      <c r="I743" s="16" t="str">
        <f t="shared" si="23"/>
        <v>Maior 365 dias</v>
      </c>
      <c r="J743" s="11">
        <v>15</v>
      </c>
      <c r="K743" s="5">
        <v>8240.74</v>
      </c>
      <c r="L743" s="6">
        <v>825.91</v>
      </c>
      <c r="M743" s="5">
        <v>9066.65</v>
      </c>
      <c r="N743" s="10">
        <v>0</v>
      </c>
      <c r="O743" s="7">
        <v>132931.24</v>
      </c>
      <c r="P743" s="3" t="s">
        <v>1</v>
      </c>
      <c r="Q743" s="3" t="s">
        <v>2</v>
      </c>
    </row>
    <row r="744" spans="1:17" x14ac:dyDescent="0.25">
      <c r="A744" s="3" t="s">
        <v>2290</v>
      </c>
      <c r="B744" s="3" t="s">
        <v>2291</v>
      </c>
      <c r="C744" s="3" t="s">
        <v>37</v>
      </c>
      <c r="D744" s="3" t="s">
        <v>2292</v>
      </c>
      <c r="E744" s="3" t="s">
        <v>1429</v>
      </c>
      <c r="F744" s="3" t="s">
        <v>2293</v>
      </c>
      <c r="G744" s="15">
        <v>46133</v>
      </c>
      <c r="H744" s="16">
        <f t="shared" si="22"/>
        <v>522</v>
      </c>
      <c r="I744" s="16" t="str">
        <f t="shared" si="23"/>
        <v>Maior 365 dias</v>
      </c>
      <c r="J744" s="11">
        <v>18</v>
      </c>
      <c r="K744" s="8">
        <v>20849.189999999999</v>
      </c>
      <c r="L744" s="5">
        <v>2272.5300000000002</v>
      </c>
      <c r="M744" s="8">
        <v>23121.72</v>
      </c>
      <c r="N744" s="10">
        <v>0</v>
      </c>
      <c r="O744" s="7">
        <v>139039.65</v>
      </c>
      <c r="P744" s="3" t="s">
        <v>1</v>
      </c>
      <c r="Q744" s="3" t="s">
        <v>2</v>
      </c>
    </row>
    <row r="745" spans="1:17" x14ac:dyDescent="0.25">
      <c r="A745" s="3" t="s">
        <v>2294</v>
      </c>
      <c r="B745" s="3" t="s">
        <v>2295</v>
      </c>
      <c r="C745" s="3" t="s">
        <v>37</v>
      </c>
      <c r="D745" s="3" t="s">
        <v>2296</v>
      </c>
      <c r="E745" s="3" t="s">
        <v>1465</v>
      </c>
      <c r="F745" s="3" t="s">
        <v>2144</v>
      </c>
      <c r="G745" s="15">
        <v>46133</v>
      </c>
      <c r="H745" s="16">
        <f t="shared" si="22"/>
        <v>451</v>
      </c>
      <c r="I745" s="16" t="str">
        <f t="shared" si="23"/>
        <v>Maior 365 dias</v>
      </c>
      <c r="J745" s="11">
        <v>15</v>
      </c>
      <c r="K745" s="5">
        <v>8229.85</v>
      </c>
      <c r="L745" s="6">
        <v>824.52</v>
      </c>
      <c r="M745" s="5">
        <v>9054.3700000000008</v>
      </c>
      <c r="N745" s="10">
        <v>0</v>
      </c>
      <c r="O745" s="7">
        <v>132648.1</v>
      </c>
      <c r="P745" s="3" t="s">
        <v>1</v>
      </c>
      <c r="Q745" s="3" t="s">
        <v>2</v>
      </c>
    </row>
    <row r="746" spans="1:17" x14ac:dyDescent="0.25">
      <c r="A746" s="3" t="s">
        <v>2297</v>
      </c>
      <c r="B746" s="3" t="s">
        <v>2298</v>
      </c>
      <c r="C746" s="3" t="s">
        <v>31</v>
      </c>
      <c r="D746" s="3" t="s">
        <v>2299</v>
      </c>
      <c r="E746" s="3" t="s">
        <v>2300</v>
      </c>
      <c r="F746" s="3" t="s">
        <v>1395</v>
      </c>
      <c r="G746" s="15">
        <v>46133</v>
      </c>
      <c r="H746" s="16">
        <f t="shared" si="22"/>
        <v>512</v>
      </c>
      <c r="I746" s="16" t="str">
        <f t="shared" si="23"/>
        <v>Maior 365 dias</v>
      </c>
      <c r="J746" s="11">
        <v>18</v>
      </c>
      <c r="K746" s="7">
        <v>158347.84</v>
      </c>
      <c r="L746" s="5">
        <v>7317.24</v>
      </c>
      <c r="M746" s="7">
        <v>165665.07999999999</v>
      </c>
      <c r="N746" s="5">
        <v>8442.49</v>
      </c>
      <c r="O746" s="7">
        <v>182347.84</v>
      </c>
      <c r="P746" s="3" t="s">
        <v>1</v>
      </c>
      <c r="Q746" s="3" t="s">
        <v>2</v>
      </c>
    </row>
    <row r="747" spans="1:17" x14ac:dyDescent="0.25">
      <c r="A747" s="3" t="s">
        <v>2301</v>
      </c>
      <c r="B747" s="3" t="s">
        <v>2298</v>
      </c>
      <c r="C747" s="3" t="s">
        <v>31</v>
      </c>
      <c r="D747" s="3" t="s">
        <v>2302</v>
      </c>
      <c r="E747" s="3" t="s">
        <v>2300</v>
      </c>
      <c r="F747" s="3" t="s">
        <v>1395</v>
      </c>
      <c r="G747" s="15">
        <v>46133</v>
      </c>
      <c r="H747" s="16">
        <f t="shared" si="22"/>
        <v>512</v>
      </c>
      <c r="I747" s="16" t="str">
        <f t="shared" si="23"/>
        <v>Maior 365 dias</v>
      </c>
      <c r="J747" s="11">
        <v>21</v>
      </c>
      <c r="K747" s="7">
        <v>159582.14000000001</v>
      </c>
      <c r="L747" s="5">
        <v>7542.28</v>
      </c>
      <c r="M747" s="7">
        <v>167124.42000000001</v>
      </c>
      <c r="N747" s="5">
        <v>7458.18</v>
      </c>
      <c r="O747" s="7">
        <v>183582.14</v>
      </c>
      <c r="P747" s="3" t="s">
        <v>1</v>
      </c>
      <c r="Q747" s="3" t="s">
        <v>2</v>
      </c>
    </row>
    <row r="748" spans="1:17" x14ac:dyDescent="0.25">
      <c r="A748" s="3" t="s">
        <v>2303</v>
      </c>
      <c r="B748" s="3" t="s">
        <v>2304</v>
      </c>
      <c r="C748" s="3" t="s">
        <v>50</v>
      </c>
      <c r="D748" s="3" t="s">
        <v>2305</v>
      </c>
      <c r="E748" s="3" t="s">
        <v>2306</v>
      </c>
      <c r="F748" s="3" t="s">
        <v>1448</v>
      </c>
      <c r="G748" s="15">
        <v>46133</v>
      </c>
      <c r="H748" s="16">
        <f t="shared" si="22"/>
        <v>435</v>
      </c>
      <c r="I748" s="16" t="str">
        <f t="shared" si="23"/>
        <v>Maior 365 dias</v>
      </c>
      <c r="J748" s="11">
        <v>19</v>
      </c>
      <c r="K748" s="8">
        <v>21352.85</v>
      </c>
      <c r="L748" s="5">
        <v>2175.81</v>
      </c>
      <c r="M748" s="5">
        <v>23747.91</v>
      </c>
      <c r="N748" s="8">
        <v>10394.58</v>
      </c>
      <c r="O748" s="7">
        <v>297739.96999999997</v>
      </c>
      <c r="P748" s="3" t="s">
        <v>1</v>
      </c>
      <c r="Q748" s="3" t="s">
        <v>2</v>
      </c>
    </row>
    <row r="749" spans="1:17" x14ac:dyDescent="0.25">
      <c r="A749" s="3" t="s">
        <v>1324</v>
      </c>
      <c r="B749" s="3" t="s">
        <v>2307</v>
      </c>
      <c r="C749" s="3" t="s">
        <v>50</v>
      </c>
      <c r="D749" s="3" t="s">
        <v>2308</v>
      </c>
      <c r="E749" s="3" t="s">
        <v>2309</v>
      </c>
      <c r="F749" s="3" t="s">
        <v>2310</v>
      </c>
      <c r="G749" s="15">
        <v>46133</v>
      </c>
      <c r="H749" s="16">
        <f t="shared" si="22"/>
        <v>430</v>
      </c>
      <c r="I749" s="16" t="str">
        <f t="shared" si="23"/>
        <v>Maior 365 dias</v>
      </c>
      <c r="J749" s="11">
        <v>15</v>
      </c>
      <c r="K749" s="8">
        <v>18856.169999999998</v>
      </c>
      <c r="L749" s="5">
        <v>1772.35</v>
      </c>
      <c r="M749" s="5">
        <v>20805.79</v>
      </c>
      <c r="N749" s="8">
        <v>14318.28</v>
      </c>
      <c r="O749" s="7">
        <v>217060.02</v>
      </c>
      <c r="P749" s="3" t="s">
        <v>1</v>
      </c>
      <c r="Q749" s="3" t="s">
        <v>2</v>
      </c>
    </row>
    <row r="750" spans="1:17" x14ac:dyDescent="0.25">
      <c r="A750" s="3" t="s">
        <v>850</v>
      </c>
      <c r="B750" s="3" t="s">
        <v>2311</v>
      </c>
      <c r="C750" s="3" t="s">
        <v>31</v>
      </c>
      <c r="D750" s="3" t="s">
        <v>2312</v>
      </c>
      <c r="E750" s="3" t="s">
        <v>2313</v>
      </c>
      <c r="F750" s="3" t="s">
        <v>1685</v>
      </c>
      <c r="G750" s="15">
        <v>46133</v>
      </c>
      <c r="H750" s="16">
        <f t="shared" si="22"/>
        <v>439</v>
      </c>
      <c r="I750" s="16" t="str">
        <f t="shared" si="23"/>
        <v>Maior 365 dias</v>
      </c>
      <c r="J750" s="11">
        <v>20</v>
      </c>
      <c r="K750" s="8">
        <v>60177.81</v>
      </c>
      <c r="L750" s="5">
        <v>4910.5200000000004</v>
      </c>
      <c r="M750" s="8">
        <v>65088.33</v>
      </c>
      <c r="N750" s="8">
        <v>31190.400000000001</v>
      </c>
      <c r="O750" s="7">
        <v>171177.81</v>
      </c>
      <c r="P750" s="3" t="s">
        <v>1</v>
      </c>
      <c r="Q750" s="3" t="s">
        <v>2</v>
      </c>
    </row>
    <row r="751" spans="1:17" x14ac:dyDescent="0.25">
      <c r="A751" s="3" t="s">
        <v>1492</v>
      </c>
      <c r="B751" s="3" t="s">
        <v>2314</v>
      </c>
      <c r="C751" s="3" t="s">
        <v>37</v>
      </c>
      <c r="D751" s="3" t="s">
        <v>2315</v>
      </c>
      <c r="E751" s="3" t="s">
        <v>755</v>
      </c>
      <c r="F751" s="3" t="s">
        <v>2166</v>
      </c>
      <c r="G751" s="15">
        <v>46133</v>
      </c>
      <c r="H751" s="16">
        <f t="shared" si="22"/>
        <v>420</v>
      </c>
      <c r="I751" s="16" t="str">
        <f t="shared" si="23"/>
        <v>Maior 365 dias</v>
      </c>
      <c r="J751" s="11">
        <v>14</v>
      </c>
      <c r="K751" s="8">
        <v>12894.24</v>
      </c>
      <c r="L751" s="5">
        <v>1224.75</v>
      </c>
      <c r="M751" s="8">
        <v>14118.99</v>
      </c>
      <c r="N751" s="10">
        <v>0</v>
      </c>
      <c r="O751" s="7">
        <v>223716.08</v>
      </c>
      <c r="P751" s="3" t="s">
        <v>1</v>
      </c>
      <c r="Q751" s="3" t="s">
        <v>2</v>
      </c>
    </row>
    <row r="752" spans="1:17" x14ac:dyDescent="0.25">
      <c r="A752" s="3" t="s">
        <v>1496</v>
      </c>
      <c r="B752" s="3" t="s">
        <v>2314</v>
      </c>
      <c r="C752" s="3" t="s">
        <v>37</v>
      </c>
      <c r="D752" s="3" t="s">
        <v>2316</v>
      </c>
      <c r="E752" s="3" t="s">
        <v>755</v>
      </c>
      <c r="F752" s="3" t="s">
        <v>2166</v>
      </c>
      <c r="G752" s="15">
        <v>46133</v>
      </c>
      <c r="H752" s="16">
        <f t="shared" si="22"/>
        <v>420</v>
      </c>
      <c r="I752" s="16" t="str">
        <f t="shared" si="23"/>
        <v>Maior 365 dias</v>
      </c>
      <c r="J752" s="11">
        <v>14</v>
      </c>
      <c r="K752" s="8">
        <v>13007.7</v>
      </c>
      <c r="L752" s="5">
        <v>1235.54</v>
      </c>
      <c r="M752" s="8">
        <v>14243.24</v>
      </c>
      <c r="N752" s="10">
        <v>0</v>
      </c>
      <c r="O752" s="7">
        <v>225685</v>
      </c>
      <c r="P752" s="3" t="s">
        <v>1</v>
      </c>
      <c r="Q752" s="3" t="s">
        <v>2</v>
      </c>
    </row>
    <row r="753" spans="1:17" x14ac:dyDescent="0.25">
      <c r="A753" s="3" t="s">
        <v>2317</v>
      </c>
      <c r="B753" s="3" t="s">
        <v>2318</v>
      </c>
      <c r="C753" s="3" t="s">
        <v>37</v>
      </c>
      <c r="D753" s="3" t="s">
        <v>2319</v>
      </c>
      <c r="E753" s="3" t="s">
        <v>2320</v>
      </c>
      <c r="F753" s="3" t="s">
        <v>2208</v>
      </c>
      <c r="G753" s="15">
        <v>46133</v>
      </c>
      <c r="H753" s="16">
        <f t="shared" si="22"/>
        <v>407</v>
      </c>
      <c r="I753" s="16" t="str">
        <f t="shared" si="23"/>
        <v>Maior 365 dias</v>
      </c>
      <c r="J753" s="11">
        <v>14</v>
      </c>
      <c r="K753" s="5">
        <v>7315.8</v>
      </c>
      <c r="L753" s="6">
        <v>661.4</v>
      </c>
      <c r="M753" s="5">
        <v>7977.2</v>
      </c>
      <c r="N753" s="5">
        <v>3967.93</v>
      </c>
      <c r="O753" s="7">
        <v>125515.4</v>
      </c>
      <c r="P753" s="3" t="s">
        <v>1</v>
      </c>
      <c r="Q753" s="3" t="s">
        <v>2</v>
      </c>
    </row>
    <row r="754" spans="1:17" x14ac:dyDescent="0.25">
      <c r="A754" s="3" t="s">
        <v>2321</v>
      </c>
      <c r="B754" s="3" t="s">
        <v>2322</v>
      </c>
      <c r="C754" s="3" t="s">
        <v>50</v>
      </c>
      <c r="D754" s="3" t="s">
        <v>2323</v>
      </c>
      <c r="E754" s="3" t="s">
        <v>1937</v>
      </c>
      <c r="F754" s="3" t="s">
        <v>2256</v>
      </c>
      <c r="G754" s="15">
        <v>46133</v>
      </c>
      <c r="H754" s="16">
        <f t="shared" si="22"/>
        <v>492</v>
      </c>
      <c r="I754" s="16" t="str">
        <f t="shared" si="23"/>
        <v>Maior 365 dias</v>
      </c>
      <c r="J754" s="11">
        <v>17</v>
      </c>
      <c r="K754" s="8">
        <v>26451.35</v>
      </c>
      <c r="L754" s="5">
        <v>2750.74</v>
      </c>
      <c r="M754" s="5">
        <v>29475.13</v>
      </c>
      <c r="N754" s="10">
        <v>0</v>
      </c>
      <c r="O754" s="7">
        <v>376068.52</v>
      </c>
      <c r="P754" s="3" t="s">
        <v>1</v>
      </c>
      <c r="Q754" s="3" t="s">
        <v>2</v>
      </c>
    </row>
    <row r="755" spans="1:17" x14ac:dyDescent="0.25">
      <c r="A755" s="3" t="s">
        <v>956</v>
      </c>
      <c r="B755" s="3" t="s">
        <v>2324</v>
      </c>
      <c r="C755" s="3" t="s">
        <v>759</v>
      </c>
      <c r="D755" s="3" t="s">
        <v>2325</v>
      </c>
      <c r="E755" s="3" t="s">
        <v>143</v>
      </c>
      <c r="F755" s="3" t="s">
        <v>2326</v>
      </c>
      <c r="G755" s="15">
        <v>46133</v>
      </c>
      <c r="H755" s="16">
        <f t="shared" si="22"/>
        <v>1523</v>
      </c>
      <c r="I755" s="16" t="str">
        <f t="shared" si="23"/>
        <v>Maior 365 dias</v>
      </c>
      <c r="J755" s="4">
        <v>1</v>
      </c>
      <c r="K755" s="8">
        <v>84705.88</v>
      </c>
      <c r="L755" s="8">
        <v>44724.71</v>
      </c>
      <c r="M755" s="7">
        <v>129430.59</v>
      </c>
      <c r="N755" s="10">
        <v>0</v>
      </c>
      <c r="O755" s="8">
        <v>84705.88</v>
      </c>
      <c r="P755" s="3" t="s">
        <v>1</v>
      </c>
      <c r="Q755" s="3" t="s">
        <v>4</v>
      </c>
    </row>
    <row r="756" spans="1:17" x14ac:dyDescent="0.25">
      <c r="A756" s="3" t="s">
        <v>2327</v>
      </c>
      <c r="B756" s="3" t="s">
        <v>2328</v>
      </c>
      <c r="C756" s="3" t="s">
        <v>94</v>
      </c>
      <c r="D756" s="3" t="s">
        <v>2329</v>
      </c>
      <c r="E756" s="3" t="s">
        <v>2330</v>
      </c>
      <c r="F756" s="3" t="s">
        <v>2187</v>
      </c>
      <c r="G756" s="15">
        <v>46133</v>
      </c>
      <c r="H756" s="16">
        <f t="shared" si="22"/>
        <v>568</v>
      </c>
      <c r="I756" s="16" t="str">
        <f t="shared" si="23"/>
        <v>Maior 365 dias</v>
      </c>
      <c r="J756" s="11">
        <v>22</v>
      </c>
      <c r="K756" s="8">
        <v>33138.269999999997</v>
      </c>
      <c r="L756" s="5">
        <v>4375.3500000000004</v>
      </c>
      <c r="M756" s="8">
        <v>37513.620000000003</v>
      </c>
      <c r="N756" s="5">
        <v>6763.4</v>
      </c>
      <c r="O756" s="7">
        <v>277790.65000000002</v>
      </c>
      <c r="P756" s="3" t="s">
        <v>1</v>
      </c>
      <c r="Q756" s="3" t="s">
        <v>4</v>
      </c>
    </row>
    <row r="757" spans="1:17" x14ac:dyDescent="0.25">
      <c r="A757" s="3" t="s">
        <v>2331</v>
      </c>
      <c r="B757" s="3" t="s">
        <v>2332</v>
      </c>
      <c r="C757" s="3" t="s">
        <v>50</v>
      </c>
      <c r="D757" s="3" t="s">
        <v>2333</v>
      </c>
      <c r="E757" s="3" t="s">
        <v>2334</v>
      </c>
      <c r="F757" s="3" t="s">
        <v>2335</v>
      </c>
      <c r="G757" s="15">
        <v>46133</v>
      </c>
      <c r="H757" s="16">
        <f t="shared" si="22"/>
        <v>696</v>
      </c>
      <c r="I757" s="16" t="str">
        <f t="shared" si="23"/>
        <v>Maior 365 dias</v>
      </c>
      <c r="J757" s="11">
        <v>23</v>
      </c>
      <c r="K757" s="8">
        <v>21519.119999999999</v>
      </c>
      <c r="L757" s="5">
        <v>3067.63</v>
      </c>
      <c r="M757" s="5">
        <v>24730.77</v>
      </c>
      <c r="N757" s="5">
        <v>3446.84</v>
      </c>
      <c r="O757" s="7">
        <v>222919.14</v>
      </c>
      <c r="P757" s="3" t="s">
        <v>1</v>
      </c>
      <c r="Q757" s="3" t="s">
        <v>4</v>
      </c>
    </row>
    <row r="758" spans="1:17" x14ac:dyDescent="0.25">
      <c r="A758" s="3" t="s">
        <v>2336</v>
      </c>
      <c r="B758" s="3" t="s">
        <v>2337</v>
      </c>
      <c r="C758" s="3" t="s">
        <v>50</v>
      </c>
      <c r="D758" s="3" t="s">
        <v>2338</v>
      </c>
      <c r="E758" s="3" t="s">
        <v>2339</v>
      </c>
      <c r="F758" s="3" t="s">
        <v>1395</v>
      </c>
      <c r="G758" s="15">
        <v>46133</v>
      </c>
      <c r="H758" s="16">
        <f t="shared" si="22"/>
        <v>512</v>
      </c>
      <c r="I758" s="16" t="str">
        <f t="shared" si="23"/>
        <v>Maior 365 dias</v>
      </c>
      <c r="J758" s="11">
        <v>20</v>
      </c>
      <c r="K758" s="8">
        <v>22392.86</v>
      </c>
      <c r="L758" s="5">
        <v>2599.5</v>
      </c>
      <c r="M758" s="5">
        <v>25144.23</v>
      </c>
      <c r="N758" s="10">
        <v>0</v>
      </c>
      <c r="O758" s="7">
        <v>301824.26</v>
      </c>
      <c r="P758" s="3" t="s">
        <v>1</v>
      </c>
      <c r="Q758" s="3" t="s">
        <v>4</v>
      </c>
    </row>
    <row r="759" spans="1:17" x14ac:dyDescent="0.25">
      <c r="A759" s="3" t="s">
        <v>2340</v>
      </c>
      <c r="B759" s="3" t="s">
        <v>2341</v>
      </c>
      <c r="C759" s="3" t="s">
        <v>50</v>
      </c>
      <c r="D759" s="3" t="s">
        <v>2342</v>
      </c>
      <c r="E759" s="3" t="s">
        <v>2343</v>
      </c>
      <c r="F759" s="3" t="s">
        <v>894</v>
      </c>
      <c r="G759" s="15">
        <v>46133</v>
      </c>
      <c r="H759" s="16">
        <f t="shared" si="22"/>
        <v>706</v>
      </c>
      <c r="I759" s="16" t="str">
        <f t="shared" si="23"/>
        <v>Maior 365 dias</v>
      </c>
      <c r="J759" s="11">
        <v>24</v>
      </c>
      <c r="K759" s="8">
        <v>47880.82</v>
      </c>
      <c r="L759" s="5">
        <v>6745.18</v>
      </c>
      <c r="M759" s="5">
        <v>54822.67</v>
      </c>
      <c r="N759" s="5">
        <v>3350.65</v>
      </c>
      <c r="O759" s="7">
        <v>240632.97</v>
      </c>
      <c r="P759" s="3" t="s">
        <v>1</v>
      </c>
      <c r="Q759" s="3" t="s">
        <v>4</v>
      </c>
    </row>
    <row r="760" spans="1:17" x14ac:dyDescent="0.25">
      <c r="A760" s="3" t="s">
        <v>2344</v>
      </c>
      <c r="B760" s="3" t="s">
        <v>2345</v>
      </c>
      <c r="C760" s="3" t="s">
        <v>50</v>
      </c>
      <c r="D760" s="3" t="s">
        <v>2346</v>
      </c>
      <c r="E760" s="3" t="s">
        <v>2347</v>
      </c>
      <c r="F760" s="3" t="s">
        <v>2348</v>
      </c>
      <c r="G760" s="15">
        <v>46133</v>
      </c>
      <c r="H760" s="16">
        <f t="shared" si="22"/>
        <v>909</v>
      </c>
      <c r="I760" s="16" t="str">
        <f t="shared" si="23"/>
        <v>Maior 365 dias</v>
      </c>
      <c r="J760" s="11">
        <v>30</v>
      </c>
      <c r="K760" s="8">
        <v>36927.57</v>
      </c>
      <c r="L760" s="5">
        <v>6631.99</v>
      </c>
      <c r="M760" s="5">
        <v>43690.03</v>
      </c>
      <c r="N760" s="5">
        <v>6583.81</v>
      </c>
      <c r="O760" s="7">
        <v>210106.29</v>
      </c>
      <c r="P760" s="3" t="s">
        <v>1</v>
      </c>
      <c r="Q760" s="3" t="s">
        <v>4</v>
      </c>
    </row>
    <row r="761" spans="1:17" x14ac:dyDescent="0.25">
      <c r="A761" s="3" t="s">
        <v>640</v>
      </c>
      <c r="B761" s="3" t="s">
        <v>2349</v>
      </c>
      <c r="C761" s="3" t="s">
        <v>94</v>
      </c>
      <c r="D761" s="3" t="s">
        <v>2350</v>
      </c>
      <c r="E761" s="3" t="s">
        <v>1050</v>
      </c>
      <c r="F761" s="3" t="s">
        <v>2351</v>
      </c>
      <c r="G761" s="15">
        <v>46133</v>
      </c>
      <c r="H761" s="16">
        <f t="shared" si="22"/>
        <v>476</v>
      </c>
      <c r="I761" s="16" t="str">
        <f t="shared" si="23"/>
        <v>Maior 365 dias</v>
      </c>
      <c r="J761" s="11">
        <v>21</v>
      </c>
      <c r="K761" s="8">
        <v>13413.29</v>
      </c>
      <c r="L761" s="5">
        <v>1496.13</v>
      </c>
      <c r="M761" s="8">
        <v>14909.42</v>
      </c>
      <c r="N761" s="10">
        <v>0</v>
      </c>
      <c r="O761" s="7">
        <v>186830.81</v>
      </c>
      <c r="P761" s="3" t="s">
        <v>1</v>
      </c>
      <c r="Q761" s="3" t="s">
        <v>2</v>
      </c>
    </row>
    <row r="762" spans="1:17" x14ac:dyDescent="0.25">
      <c r="A762" s="3" t="s">
        <v>2352</v>
      </c>
      <c r="B762" s="3" t="s">
        <v>2353</v>
      </c>
      <c r="C762" s="3" t="s">
        <v>50</v>
      </c>
      <c r="D762" s="3" t="s">
        <v>2354</v>
      </c>
      <c r="E762" s="3" t="s">
        <v>2355</v>
      </c>
      <c r="F762" s="3" t="s">
        <v>894</v>
      </c>
      <c r="G762" s="15">
        <v>46133</v>
      </c>
      <c r="H762" s="16">
        <f t="shared" si="22"/>
        <v>706</v>
      </c>
      <c r="I762" s="16" t="str">
        <f t="shared" si="23"/>
        <v>Maior 365 dias</v>
      </c>
      <c r="J762" s="11">
        <v>24</v>
      </c>
      <c r="K762" s="8">
        <v>25626.7</v>
      </c>
      <c r="L762" s="5">
        <v>3606.62</v>
      </c>
      <c r="M762" s="5">
        <v>29422.57</v>
      </c>
      <c r="N762" s="5">
        <v>5966.34</v>
      </c>
      <c r="O762" s="7">
        <v>248606.8</v>
      </c>
      <c r="P762" s="3" t="s">
        <v>1</v>
      </c>
      <c r="Q762" s="3" t="s">
        <v>4</v>
      </c>
    </row>
    <row r="763" spans="1:17" x14ac:dyDescent="0.25">
      <c r="A763" s="3" t="s">
        <v>503</v>
      </c>
      <c r="B763" s="3" t="s">
        <v>2356</v>
      </c>
      <c r="C763" s="3" t="s">
        <v>50</v>
      </c>
      <c r="D763" s="3" t="s">
        <v>2357</v>
      </c>
      <c r="E763" s="3" t="s">
        <v>2358</v>
      </c>
      <c r="F763" s="3" t="s">
        <v>2359</v>
      </c>
      <c r="G763" s="15">
        <v>46133</v>
      </c>
      <c r="H763" s="16">
        <f t="shared" si="22"/>
        <v>665</v>
      </c>
      <c r="I763" s="16" t="str">
        <f t="shared" si="23"/>
        <v>Maior 365 dias</v>
      </c>
      <c r="J763" s="11">
        <v>21</v>
      </c>
      <c r="K763" s="8">
        <v>22038.68</v>
      </c>
      <c r="L763" s="5">
        <v>2922.43</v>
      </c>
      <c r="M763" s="5">
        <v>25092.32</v>
      </c>
      <c r="N763" s="5">
        <v>4877.45</v>
      </c>
      <c r="O763" s="7">
        <v>250704.1</v>
      </c>
      <c r="P763" s="3" t="s">
        <v>1</v>
      </c>
      <c r="Q763" s="3" t="s">
        <v>4</v>
      </c>
    </row>
    <row r="764" spans="1:17" x14ac:dyDescent="0.25">
      <c r="A764" s="3" t="s">
        <v>2360</v>
      </c>
      <c r="B764" s="3" t="s">
        <v>2361</v>
      </c>
      <c r="C764" s="3" t="s">
        <v>50</v>
      </c>
      <c r="D764" s="3" t="s">
        <v>2362</v>
      </c>
      <c r="E764" s="3" t="s">
        <v>1465</v>
      </c>
      <c r="F764" s="3" t="s">
        <v>2170</v>
      </c>
      <c r="G764" s="15">
        <v>46133</v>
      </c>
      <c r="H764" s="16">
        <f t="shared" si="22"/>
        <v>553</v>
      </c>
      <c r="I764" s="16" t="str">
        <f t="shared" si="23"/>
        <v>Maior 365 dias</v>
      </c>
      <c r="J764" s="11">
        <v>22</v>
      </c>
      <c r="K764" s="8">
        <v>24426.67</v>
      </c>
      <c r="L764" s="5">
        <v>2859.31</v>
      </c>
      <c r="M764" s="5">
        <v>27474.15</v>
      </c>
      <c r="N764" s="5">
        <v>1395.1</v>
      </c>
      <c r="O764" s="7">
        <v>298639.05</v>
      </c>
      <c r="P764" s="3" t="s">
        <v>1</v>
      </c>
      <c r="Q764" s="3" t="s">
        <v>4</v>
      </c>
    </row>
  </sheetData>
  <autoFilter ref="A1:Q764" xr:uid="{00000000-0009-0000-0000-000001000000}">
    <sortState xmlns:xlrd2="http://schemas.microsoft.com/office/spreadsheetml/2017/richdata2" ref="A2:Q764">
      <sortCondition ref="P2:P764"/>
    </sortState>
  </autoFilter>
  <pageMargins left="0.52999994886203072" right="0.52999994886203072" top="0.52999994886203072" bottom="0.68999998212799307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Nunes</dc:creator>
  <cp:lastModifiedBy>Daniel Santos de Oliveira</cp:lastModifiedBy>
  <dcterms:created xsi:type="dcterms:W3CDTF">2026-04-22T12:56:14Z</dcterms:created>
  <dcterms:modified xsi:type="dcterms:W3CDTF">2026-04-24T21:00:48Z</dcterms:modified>
</cp:coreProperties>
</file>